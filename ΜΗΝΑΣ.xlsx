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Το Drive μου\ΑΒ ΣΚΥΡΟΣ 2\"/>
    </mc:Choice>
  </mc:AlternateContent>
  <xr:revisionPtr revIDLastSave="0" documentId="13_ncr:1_{628C12D8-B243-423C-91ED-7A5E49CC8952}" xr6:coauthVersionLast="47" xr6:coauthVersionMax="47" xr10:uidLastSave="{00000000-0000-0000-0000-000000000000}"/>
  <bookViews>
    <workbookView xWindow="1596" yWindow="1140" windowWidth="20568" windowHeight="11328" activeTab="2" xr2:uid="{00000000-000D-0000-FFFF-FFFF00000000}"/>
  </bookViews>
  <sheets>
    <sheet name="ΔΟΣΗ ΕΞΟΠΛΗΣΜΟΥ" sheetId="4" r:id="rId1"/>
    <sheet name="2024 -2025" sheetId="2" r:id="rId2"/>
    <sheet name="2026" sheetId="3" r:id="rId3"/>
    <sheet name="2027" sheetId="5" r:id="rId4"/>
    <sheet name="2028" sheetId="6" r:id="rId5"/>
  </sheets>
  <calcPr calcId="191029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JjPANdQjc0XGT5aK8cWNC1VZW13xh3BMfe4RtF6/rrQ="/>
    </ext>
  </extLst>
</workbook>
</file>

<file path=xl/calcChain.xml><?xml version="1.0" encoding="utf-8"?>
<calcChain xmlns="http://schemas.openxmlformats.org/spreadsheetml/2006/main">
  <c r="F61" i="3" l="1"/>
  <c r="E61" i="3"/>
  <c r="C61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F69" i="2"/>
  <c r="E69" i="2"/>
  <c r="C69" i="2"/>
  <c r="G67" i="2"/>
  <c r="G69" i="2" s="1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J25" i="2"/>
  <c r="G25" i="2"/>
  <c r="G24" i="2"/>
  <c r="G23" i="2"/>
  <c r="N22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61" i="3" l="1"/>
</calcChain>
</file>

<file path=xl/sharedStrings.xml><?xml version="1.0" encoding="utf-8"?>
<sst xmlns="http://schemas.openxmlformats.org/spreadsheetml/2006/main" count="126" uniqueCount="117">
  <si>
    <t>2024-2025</t>
  </si>
  <si>
    <t>ΗΜΕΡ.</t>
  </si>
  <si>
    <t>ΠΟΣΟ</t>
  </si>
  <si>
    <t>Αρ.Επιταγης</t>
  </si>
  <si>
    <t>ΤΑΜΕΙΟ</t>
  </si>
  <si>
    <t>ΠΕΛΤΕΣ</t>
  </si>
  <si>
    <t>ΑΘΡΟΙΣΜΑ</t>
  </si>
  <si>
    <t>ΓΕΜΙΣΜΑ</t>
  </si>
  <si>
    <t>ΣΚΥΡΟΣ 1082</t>
  </si>
  <si>
    <t>ΙΚΑ</t>
  </si>
  <si>
    <t>ΦΜΥ</t>
  </si>
  <si>
    <t>30864313-5</t>
  </si>
  <si>
    <t>30864200-7</t>
  </si>
  <si>
    <t>ΤΕΚΑ</t>
  </si>
  <si>
    <t>30864320-8</t>
  </si>
  <si>
    <t>30864216-3</t>
  </si>
  <si>
    <t>ΜΙΣΘΟΔΟΣΙΑ</t>
  </si>
  <si>
    <t>30864336-4</t>
  </si>
  <si>
    <t>30864222-8</t>
  </si>
  <si>
    <t>ΔΟΣΗ ΕΞΟΠΛΗΣΜΟΥ</t>
  </si>
  <si>
    <t>30864342-9</t>
  </si>
  <si>
    <t>30864239-2</t>
  </si>
  <si>
    <t>ΡΕΥΜΑ</t>
  </si>
  <si>
    <t>30864359-3</t>
  </si>
  <si>
    <t>30864245-7</t>
  </si>
  <si>
    <t>ΦΠΑ</t>
  </si>
  <si>
    <t>30864365-8</t>
  </si>
  <si>
    <t>30864251-1</t>
  </si>
  <si>
    <t>ΠΑΥΛΟΣ</t>
  </si>
  <si>
    <t>30864371-2</t>
  </si>
  <si>
    <t>30864268-6</t>
  </si>
  <si>
    <t>ΔΩΡΟ</t>
  </si>
  <si>
    <t>30864388-7</t>
  </si>
  <si>
    <t>30864274-1</t>
  </si>
  <si>
    <t>30864394-1</t>
  </si>
  <si>
    <t>30864281-3</t>
  </si>
  <si>
    <t>ΣΥΝΟΛΟ</t>
  </si>
  <si>
    <t>30864404-2</t>
  </si>
  <si>
    <t>30864297-0</t>
  </si>
  <si>
    <t>30864411-5</t>
  </si>
  <si>
    <t>30864307-1</t>
  </si>
  <si>
    <t>30864427-1</t>
  </si>
  <si>
    <t>30864433-6</t>
  </si>
  <si>
    <t>30864440-9</t>
  </si>
  <si>
    <t>31287157-1</t>
  </si>
  <si>
    <t>31287163-5</t>
  </si>
  <si>
    <t>31287170-8</t>
  </si>
  <si>
    <t>31287186-4</t>
  </si>
  <si>
    <t>31287192-9</t>
  </si>
  <si>
    <t>31287202-0</t>
  </si>
  <si>
    <t>31287219-4</t>
  </si>
  <si>
    <t>31287225-9</t>
  </si>
  <si>
    <t>31287231-3</t>
  </si>
  <si>
    <t>31287248-8</t>
  </si>
  <si>
    <t>31287254-2</t>
  </si>
  <si>
    <t>31287261-5</t>
  </si>
  <si>
    <t>31287277-1</t>
  </si>
  <si>
    <t>31287283-6</t>
  </si>
  <si>
    <t>31287290-9</t>
  </si>
  <si>
    <t>31287300-0</t>
  </si>
  <si>
    <t>31287316-6</t>
  </si>
  <si>
    <t>31287322-1</t>
  </si>
  <si>
    <t>31287339-5</t>
  </si>
  <si>
    <t>31287345-0</t>
  </si>
  <si>
    <t>31287351-4</t>
  </si>
  <si>
    <t>31287368-9</t>
  </si>
  <si>
    <t>31287374-3</t>
  </si>
  <si>
    <t>31287381-6</t>
  </si>
  <si>
    <t>31287397-2</t>
  </si>
  <si>
    <t>32264304-0</t>
  </si>
  <si>
    <t>32264311-2</t>
  </si>
  <si>
    <t>32264327-9</t>
  </si>
  <si>
    <t>32264333-3</t>
  </si>
  <si>
    <t>32264340-6</t>
  </si>
  <si>
    <t>32264356-2</t>
  </si>
  <si>
    <t>32264362-7</t>
  </si>
  <si>
    <t>32264379-1</t>
  </si>
  <si>
    <t>32264385-6</t>
  </si>
  <si>
    <t>32264391-1</t>
  </si>
  <si>
    <t>32264401-1</t>
  </si>
  <si>
    <t>32264418-6</t>
  </si>
  <si>
    <t>32264424-1</t>
  </si>
  <si>
    <t>32264431-3</t>
  </si>
  <si>
    <t>32264447-0</t>
  </si>
  <si>
    <t>32264453-4</t>
  </si>
  <si>
    <t>32264460-7</t>
  </si>
  <si>
    <t>32264476-3</t>
  </si>
  <si>
    <t>32264509-3</t>
  </si>
  <si>
    <t>32264515-8</t>
  </si>
  <si>
    <t>32264521-2</t>
  </si>
  <si>
    <t>32264538-7</t>
  </si>
  <si>
    <t>32264544-1</t>
  </si>
  <si>
    <t>35507517-2</t>
  </si>
  <si>
    <t>35507518-1</t>
  </si>
  <si>
    <t>35507519-9</t>
  </si>
  <si>
    <t>35507520-2</t>
  </si>
  <si>
    <t>35507521-1</t>
  </si>
  <si>
    <t>35507515-6 ΕΤΕ</t>
  </si>
  <si>
    <t>δόση ΧΧ μηχανημάτων 4899,27</t>
  </si>
  <si>
    <t>35507522-9</t>
  </si>
  <si>
    <t>35507523-7</t>
  </si>
  <si>
    <t>35507524-5</t>
  </si>
  <si>
    <t>35507525-3</t>
  </si>
  <si>
    <t>32854566-0</t>
  </si>
  <si>
    <t>32854572-4</t>
  </si>
  <si>
    <t>32854550-3 EUROB</t>
  </si>
  <si>
    <t>32854589-9</t>
  </si>
  <si>
    <t>30023855-0  ΕΤΕ</t>
  </si>
  <si>
    <t>30023856-8</t>
  </si>
  <si>
    <t>30023857-6</t>
  </si>
  <si>
    <t>30023858-4</t>
  </si>
  <si>
    <t>30023859-2</t>
  </si>
  <si>
    <t>30023860-6</t>
  </si>
  <si>
    <t>30023861-4</t>
  </si>
  <si>
    <t>30023862-2</t>
  </si>
  <si>
    <t>30023863-1</t>
  </si>
  <si>
    <t>30023864-9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</si>
</sst>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€&quot;;[Red]\-#,##0.00\ &quot;€&quot;"/>
    <numFmt numFmtId="164" formatCode="#,##0.00\ &quot;€&quot;"/>
    <numFmt numFmtId="165" formatCode="#,##0.00\ _€"/>
    <numFmt numFmtId="166" formatCode="_-* #,##0.00\ &quot;€&quot;_-;\-* #,##0.00\ &quot;€&quot;_-;_-* &quot;-&quot;??\ &quot;€&quot;_-;_-@"/>
  </numFmts>
  <fonts count="15" x14ac:knownFonts="1">
    <font>
      <sz val="11"/>
      <color theme="1"/>
      <name val="Calibri"/>
      <scheme val="minor"/>
    </font>
    <font>
      <b/>
      <sz val="11"/>
      <color theme="1"/>
      <name val="Calibri"/>
      <family val="2"/>
      <charset val="161"/>
    </font>
    <font>
      <sz val="11"/>
      <color theme="1"/>
      <name val="Calibri"/>
      <family val="2"/>
      <charset val="161"/>
    </font>
    <font>
      <b/>
      <sz val="12"/>
      <color theme="1"/>
      <name val="Calibri"/>
      <family val="2"/>
      <charset val="161"/>
    </font>
    <font>
      <sz val="11"/>
      <name val="Calibri"/>
      <family val="2"/>
      <charset val="161"/>
    </font>
    <font>
      <b/>
      <sz val="10"/>
      <color theme="1"/>
      <name val="Arial"/>
      <family val="2"/>
      <charset val="161"/>
    </font>
    <font>
      <b/>
      <sz val="10"/>
      <color rgb="FF000000"/>
      <name val="Arial"/>
      <family val="2"/>
      <charset val="161"/>
    </font>
    <font>
      <sz val="10"/>
      <color rgb="FF000000"/>
      <name val="Arial"/>
      <family val="2"/>
      <charset val="161"/>
    </font>
    <font>
      <sz val="11"/>
      <color rgb="FF000000"/>
      <name val="Calibri"/>
      <family val="2"/>
      <charset val="161"/>
    </font>
    <font>
      <sz val="11"/>
      <color rgb="FF0C0C0C"/>
      <name val="Calibri"/>
      <family val="2"/>
      <charset val="161"/>
    </font>
    <font>
      <sz val="11"/>
      <color rgb="FF7030A0"/>
      <name val="Calibri"/>
      <family val="2"/>
      <charset val="161"/>
    </font>
    <font>
      <sz val="11"/>
      <color rgb="FFF4B083"/>
      <name val="Calibri"/>
      <family val="2"/>
      <charset val="161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sz val="11"/>
      <color rgb="FFFF0000"/>
      <name val="Calibri"/>
      <family val="2"/>
      <charset val="161"/>
    </font>
  </fonts>
  <fills count="15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0070C0"/>
        <bgColor rgb="FF0070C0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rgb="FFC5E0B3"/>
        <bgColor rgb="FFC5E0B3"/>
      </patternFill>
    </fill>
    <fill>
      <patternFill patternType="solid">
        <fgColor rgb="FF2F5496"/>
        <bgColor rgb="FF2F5496"/>
      </patternFill>
    </fill>
    <fill>
      <patternFill patternType="solid">
        <fgColor rgb="FFBDD6EE"/>
        <bgColor rgb="FFBDD6EE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8" fontId="2" fillId="0" borderId="0" xfId="0" applyNumberFormat="1" applyFont="1"/>
    <xf numFmtId="164" fontId="2" fillId="0" borderId="0" xfId="0" applyNumberFormat="1" applyFont="1"/>
    <xf numFmtId="0" fontId="5" fillId="2" borderId="4" xfId="0" applyFont="1" applyFill="1" applyBorder="1" applyAlignment="1">
      <alignment horizontal="center" vertical="top"/>
    </xf>
    <xf numFmtId="0" fontId="6" fillId="3" borderId="5" xfId="0" applyFont="1" applyFill="1" applyBorder="1" applyAlignment="1">
      <alignment horizontal="center" vertical="top"/>
    </xf>
    <xf numFmtId="0" fontId="1" fillId="4" borderId="5" xfId="0" applyFont="1" applyFill="1" applyBorder="1" applyAlignment="1">
      <alignment horizontal="center"/>
    </xf>
    <xf numFmtId="8" fontId="1" fillId="4" borderId="5" xfId="0" applyNumberFormat="1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8" fontId="1" fillId="6" borderId="5" xfId="0" applyNumberFormat="1" applyFont="1" applyFill="1" applyBorder="1" applyAlignment="1">
      <alignment horizontal="center"/>
    </xf>
    <xf numFmtId="14" fontId="2" fillId="2" borderId="6" xfId="0" applyNumberFormat="1" applyFont="1" applyFill="1" applyBorder="1" applyAlignment="1">
      <alignment horizontal="center" vertical="center"/>
    </xf>
    <xf numFmtId="165" fontId="7" fillId="3" borderId="7" xfId="0" applyNumberFormat="1" applyFont="1" applyFill="1" applyBorder="1" applyAlignment="1">
      <alignment horizontal="center" vertical="top"/>
    </xf>
    <xf numFmtId="0" fontId="2" fillId="4" borderId="7" xfId="0" applyFont="1" applyFill="1" applyBorder="1" applyAlignment="1">
      <alignment horizontal="center"/>
    </xf>
    <xf numFmtId="8" fontId="2" fillId="4" borderId="7" xfId="0" applyNumberFormat="1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8" fontId="2" fillId="6" borderId="7" xfId="0" applyNumberFormat="1" applyFont="1" applyFill="1" applyBorder="1" applyAlignment="1">
      <alignment horizontal="center"/>
    </xf>
    <xf numFmtId="14" fontId="2" fillId="2" borderId="8" xfId="0" applyNumberFormat="1" applyFont="1" applyFill="1" applyBorder="1" applyAlignment="1">
      <alignment horizontal="center" vertical="center"/>
    </xf>
    <xf numFmtId="165" fontId="7" fillId="3" borderId="8" xfId="0" applyNumberFormat="1" applyFont="1" applyFill="1" applyBorder="1" applyAlignment="1">
      <alignment horizontal="center" vertical="top"/>
    </xf>
    <xf numFmtId="0" fontId="2" fillId="4" borderId="8" xfId="0" applyFont="1" applyFill="1" applyBorder="1" applyAlignment="1">
      <alignment horizontal="center"/>
    </xf>
    <xf numFmtId="8" fontId="2" fillId="4" borderId="8" xfId="0" applyNumberFormat="1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8" fontId="2" fillId="6" borderId="8" xfId="0" applyNumberFormat="1" applyFont="1" applyFill="1" applyBorder="1" applyAlignment="1">
      <alignment horizontal="center"/>
    </xf>
    <xf numFmtId="165" fontId="8" fillId="3" borderId="8" xfId="0" applyNumberFormat="1" applyFont="1" applyFill="1" applyBorder="1" applyAlignment="1">
      <alignment horizontal="center" vertical="center"/>
    </xf>
    <xf numFmtId="14" fontId="2" fillId="2" borderId="7" xfId="0" applyNumberFormat="1" applyFont="1" applyFill="1" applyBorder="1" applyAlignment="1">
      <alignment horizontal="center" vertical="center"/>
    </xf>
    <xf numFmtId="165" fontId="8" fillId="3" borderId="7" xfId="0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14" fontId="10" fillId="7" borderId="12" xfId="0" applyNumberFormat="1" applyFont="1" applyFill="1" applyBorder="1" applyAlignment="1">
      <alignment horizontal="center" vertical="top"/>
    </xf>
    <xf numFmtId="164" fontId="10" fillId="7" borderId="12" xfId="0" applyNumberFormat="1" applyFont="1" applyFill="1" applyBorder="1" applyAlignment="1">
      <alignment horizontal="center" vertical="top"/>
    </xf>
    <xf numFmtId="0" fontId="10" fillId="7" borderId="8" xfId="0" applyFont="1" applyFill="1" applyBorder="1"/>
    <xf numFmtId="0" fontId="9" fillId="0" borderId="13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4" fontId="2" fillId="3" borderId="8" xfId="0" applyNumberFormat="1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/>
    </xf>
    <xf numFmtId="14" fontId="10" fillId="0" borderId="14" xfId="0" applyNumberFormat="1" applyFont="1" applyBorder="1" applyAlignment="1">
      <alignment horizontal="center" vertical="top"/>
    </xf>
    <xf numFmtId="164" fontId="10" fillId="0" borderId="14" xfId="0" applyNumberFormat="1" applyFont="1" applyBorder="1" applyAlignment="1">
      <alignment horizontal="center" vertical="top"/>
    </xf>
    <xf numFmtId="0" fontId="10" fillId="0" borderId="8" xfId="0" applyFont="1" applyBorder="1" applyAlignment="1">
      <alignment horizontal="center"/>
    </xf>
    <xf numFmtId="166" fontId="2" fillId="0" borderId="13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166" fontId="2" fillId="0" borderId="0" xfId="0" applyNumberFormat="1" applyFont="1"/>
    <xf numFmtId="166" fontId="2" fillId="0" borderId="13" xfId="0" applyNumberFormat="1" applyFont="1" applyBorder="1"/>
    <xf numFmtId="0" fontId="2" fillId="0" borderId="15" xfId="0" applyFont="1" applyBorder="1" applyAlignment="1">
      <alignment horizontal="center" vertical="top"/>
    </xf>
    <xf numFmtId="164" fontId="5" fillId="0" borderId="15" xfId="0" applyNumberFormat="1" applyFont="1" applyBorder="1" applyAlignment="1">
      <alignment horizontal="center" vertical="top"/>
    </xf>
    <xf numFmtId="0" fontId="2" fillId="0" borderId="16" xfId="0" applyFont="1" applyBorder="1"/>
    <xf numFmtId="14" fontId="10" fillId="7" borderId="17" xfId="0" applyNumberFormat="1" applyFont="1" applyFill="1" applyBorder="1" applyAlignment="1">
      <alignment horizontal="center"/>
    </xf>
    <xf numFmtId="164" fontId="10" fillId="7" borderId="17" xfId="0" applyNumberFormat="1" applyFont="1" applyFill="1" applyBorder="1" applyAlignment="1">
      <alignment horizontal="center"/>
    </xf>
    <xf numFmtId="0" fontId="10" fillId="7" borderId="17" xfId="0" applyFont="1" applyFill="1" applyBorder="1" applyAlignment="1">
      <alignment horizontal="center"/>
    </xf>
    <xf numFmtId="14" fontId="10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64" fontId="8" fillId="3" borderId="8" xfId="0" applyNumberFormat="1" applyFont="1" applyFill="1" applyBorder="1" applyAlignment="1">
      <alignment horizontal="center" vertical="center"/>
    </xf>
    <xf numFmtId="164" fontId="11" fillId="3" borderId="8" xfId="0" applyNumberFormat="1" applyFont="1" applyFill="1" applyBorder="1" applyAlignment="1">
      <alignment horizontal="center" vertical="center"/>
    </xf>
    <xf numFmtId="164" fontId="2" fillId="8" borderId="17" xfId="0" applyNumberFormat="1" applyFont="1" applyFill="1" applyBorder="1" applyAlignment="1">
      <alignment horizontal="center"/>
    </xf>
    <xf numFmtId="0" fontId="2" fillId="0" borderId="0" xfId="0" applyFont="1"/>
    <xf numFmtId="164" fontId="2" fillId="8" borderId="17" xfId="0" applyNumberFormat="1" applyFont="1" applyFill="1" applyBorder="1"/>
    <xf numFmtId="14" fontId="2" fillId="2" borderId="18" xfId="0" applyNumberFormat="1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/>
    </xf>
    <xf numFmtId="8" fontId="2" fillId="4" borderId="18" xfId="0" applyNumberFormat="1" applyFont="1" applyFill="1" applyBorder="1" applyAlignment="1">
      <alignment horizontal="center"/>
    </xf>
    <xf numFmtId="0" fontId="2" fillId="5" borderId="18" xfId="0" applyFont="1" applyFill="1" applyBorder="1" applyAlignment="1">
      <alignment horizontal="center"/>
    </xf>
    <xf numFmtId="8" fontId="2" fillId="6" borderId="18" xfId="0" applyNumberFormat="1" applyFont="1" applyFill="1" applyBorder="1" applyAlignment="1">
      <alignment horizontal="center"/>
    </xf>
    <xf numFmtId="14" fontId="2" fillId="2" borderId="13" xfId="0" applyNumberFormat="1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/>
    </xf>
    <xf numFmtId="8" fontId="2" fillId="4" borderId="13" xfId="0" applyNumberFormat="1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8" fontId="2" fillId="6" borderId="13" xfId="0" applyNumberFormat="1" applyFont="1" applyFill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8" fontId="2" fillId="0" borderId="0" xfId="0" applyNumberFormat="1" applyFont="1" applyAlignment="1">
      <alignment horizontal="center"/>
    </xf>
    <xf numFmtId="165" fontId="2" fillId="0" borderId="5" xfId="0" applyNumberFormat="1" applyFont="1" applyBorder="1" applyAlignment="1">
      <alignment horizontal="center"/>
    </xf>
    <xf numFmtId="8" fontId="2" fillId="0" borderId="5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2" fillId="0" borderId="0" xfId="0" applyFont="1" applyAlignment="1">
      <alignment horizontal="left"/>
    </xf>
    <xf numFmtId="0" fontId="6" fillId="9" borderId="5" xfId="0" applyFont="1" applyFill="1" applyBorder="1" applyAlignment="1">
      <alignment horizontal="center" vertical="top"/>
    </xf>
    <xf numFmtId="0" fontId="1" fillId="10" borderId="5" xfId="0" applyFont="1" applyFill="1" applyBorder="1" applyAlignment="1">
      <alignment horizontal="center"/>
    </xf>
    <xf numFmtId="8" fontId="1" fillId="10" borderId="5" xfId="0" applyNumberFormat="1" applyFont="1" applyFill="1" applyBorder="1" applyAlignment="1">
      <alignment horizontal="center"/>
    </xf>
    <xf numFmtId="14" fontId="2" fillId="2" borderId="19" xfId="0" applyNumberFormat="1" applyFont="1" applyFill="1" applyBorder="1" applyAlignment="1">
      <alignment horizontal="center" vertical="center"/>
    </xf>
    <xf numFmtId="0" fontId="2" fillId="10" borderId="20" xfId="0" applyFont="1" applyFill="1" applyBorder="1" applyAlignment="1">
      <alignment horizontal="center"/>
    </xf>
    <xf numFmtId="8" fontId="2" fillId="10" borderId="20" xfId="0" applyNumberFormat="1" applyFont="1" applyFill="1" applyBorder="1" applyAlignment="1">
      <alignment horizontal="center"/>
    </xf>
    <xf numFmtId="0" fontId="2" fillId="5" borderId="20" xfId="0" applyFont="1" applyFill="1" applyBorder="1" applyAlignment="1">
      <alignment horizontal="center"/>
    </xf>
    <xf numFmtId="8" fontId="2" fillId="6" borderId="20" xfId="0" applyNumberFormat="1" applyFont="1" applyFill="1" applyBorder="1" applyAlignment="1">
      <alignment horizontal="center"/>
    </xf>
    <xf numFmtId="0" fontId="2" fillId="10" borderId="13" xfId="0" applyFont="1" applyFill="1" applyBorder="1" applyAlignment="1">
      <alignment horizontal="center"/>
    </xf>
    <xf numFmtId="8" fontId="2" fillId="10" borderId="13" xfId="0" applyNumberFormat="1" applyFont="1" applyFill="1" applyBorder="1" applyAlignment="1">
      <alignment horizontal="center"/>
    </xf>
    <xf numFmtId="164" fontId="11" fillId="9" borderId="13" xfId="0" applyNumberFormat="1" applyFont="1" applyFill="1" applyBorder="1" applyAlignment="1">
      <alignment horizontal="center"/>
    </xf>
    <xf numFmtId="164" fontId="13" fillId="3" borderId="18" xfId="0" applyNumberFormat="1" applyFont="1" applyFill="1" applyBorder="1" applyAlignment="1">
      <alignment horizontal="center" vertical="center"/>
    </xf>
    <xf numFmtId="164" fontId="13" fillId="3" borderId="13" xfId="0" applyNumberFormat="1" applyFont="1" applyFill="1" applyBorder="1" applyAlignment="1">
      <alignment horizontal="center" vertical="center"/>
    </xf>
    <xf numFmtId="164" fontId="13" fillId="9" borderId="20" xfId="0" applyNumberFormat="1" applyFont="1" applyFill="1" applyBorder="1" applyAlignment="1">
      <alignment horizontal="center" vertical="center"/>
    </xf>
    <xf numFmtId="164" fontId="13" fillId="9" borderId="13" xfId="0" applyNumberFormat="1" applyFont="1" applyFill="1" applyBorder="1" applyAlignment="1">
      <alignment horizontal="center" vertical="center"/>
    </xf>
    <xf numFmtId="0" fontId="0" fillId="11" borderId="21" xfId="0" applyFill="1" applyBorder="1" applyAlignment="1">
      <alignment horizontal="center"/>
    </xf>
    <xf numFmtId="8" fontId="0" fillId="12" borderId="21" xfId="0" applyNumberFormat="1" applyFill="1" applyBorder="1" applyAlignment="1">
      <alignment horizontal="center"/>
    </xf>
    <xf numFmtId="8" fontId="0" fillId="13" borderId="22" xfId="0" applyNumberFormat="1" applyFill="1" applyBorder="1" applyAlignment="1">
      <alignment horizontal="center"/>
    </xf>
    <xf numFmtId="164" fontId="0" fillId="14" borderId="2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14" fontId="0" fillId="0" borderId="24" xfId="0" applyNumberFormat="1" applyBorder="1" applyAlignment="1">
      <alignment horizontal="center"/>
    </xf>
    <xf numFmtId="14" fontId="0" fillId="0" borderId="23" xfId="0" applyNumberFormat="1" applyBorder="1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164" fontId="2" fillId="10" borderId="13" xfId="0" applyNumberFormat="1" applyFont="1" applyFill="1" applyBorder="1" applyAlignment="1">
      <alignment horizontal="center"/>
    </xf>
    <xf numFmtId="164" fontId="13" fillId="9" borderId="13" xfId="0" applyNumberFormat="1" applyFont="1" applyFill="1" applyBorder="1" applyAlignment="1">
      <alignment horizontal="center"/>
    </xf>
    <xf numFmtId="164" fontId="2" fillId="9" borderId="13" xfId="0" applyNumberFormat="1" applyFont="1" applyFill="1" applyBorder="1" applyAlignment="1">
      <alignment horizontal="center"/>
    </xf>
    <xf numFmtId="14" fontId="14" fillId="2" borderId="19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8" fontId="0" fillId="0" borderId="17" xfId="0" applyNumberForma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64DBD-158B-4F48-9A04-A56EB1B28319}">
  <dimension ref="B2:R74"/>
  <sheetViews>
    <sheetView workbookViewId="0">
      <selection activeCell="H5" sqref="H5"/>
    </sheetView>
  </sheetViews>
  <sheetFormatPr defaultRowHeight="14.4" x14ac:dyDescent="0.3"/>
  <cols>
    <col min="3" max="3" width="15.6640625" customWidth="1"/>
    <col min="4" max="4" width="8.33203125" customWidth="1"/>
    <col min="7" max="7" width="12.109375" customWidth="1"/>
    <col min="8" max="8" width="9.33203125" customWidth="1"/>
    <col min="11" max="11" width="9.5546875" bestFit="1" customWidth="1"/>
    <col min="12" max="12" width="9.5546875" customWidth="1"/>
    <col min="15" max="15" width="9.5546875" bestFit="1" customWidth="1"/>
  </cols>
  <sheetData>
    <row r="2" spans="2:18" x14ac:dyDescent="0.3">
      <c r="B2" s="111" t="s">
        <v>98</v>
      </c>
      <c r="C2" s="111"/>
      <c r="D2" s="111"/>
    </row>
    <row r="3" spans="2:18" ht="15" thickBot="1" x14ac:dyDescent="0.35"/>
    <row r="4" spans="2:18" ht="15" thickBot="1" x14ac:dyDescent="0.35">
      <c r="B4" s="108">
        <v>2026</v>
      </c>
      <c r="C4" s="109"/>
      <c r="D4" s="110"/>
      <c r="E4" s="94"/>
      <c r="F4" s="112">
        <v>2027</v>
      </c>
      <c r="G4" s="113"/>
      <c r="H4" s="114"/>
      <c r="I4" s="94"/>
      <c r="J4" s="108">
        <v>2028</v>
      </c>
      <c r="K4" s="109"/>
      <c r="L4" s="110"/>
      <c r="M4" s="94"/>
      <c r="N4" s="108">
        <v>2029</v>
      </c>
      <c r="O4" s="109"/>
      <c r="P4" s="110"/>
      <c r="Q4" s="94"/>
      <c r="R4" s="94"/>
    </row>
    <row r="5" spans="2:18" x14ac:dyDescent="0.3">
      <c r="B5" s="96">
        <v>1</v>
      </c>
      <c r="C5" s="97">
        <v>46300</v>
      </c>
      <c r="D5" s="96"/>
      <c r="E5" s="94"/>
      <c r="F5" s="95">
        <v>4</v>
      </c>
      <c r="G5" s="98">
        <v>46392</v>
      </c>
      <c r="H5" s="95"/>
      <c r="I5" s="94"/>
      <c r="J5" s="96">
        <v>16</v>
      </c>
      <c r="K5" s="97">
        <v>46757</v>
      </c>
      <c r="L5" s="97"/>
      <c r="M5" s="94"/>
      <c r="N5" s="96">
        <v>28</v>
      </c>
      <c r="O5" s="97">
        <v>47123</v>
      </c>
      <c r="P5" s="96"/>
      <c r="Q5" s="94"/>
      <c r="R5" s="94"/>
    </row>
    <row r="6" spans="2:18" x14ac:dyDescent="0.3">
      <c r="B6" s="95">
        <v>2</v>
      </c>
      <c r="C6" s="98">
        <v>46331</v>
      </c>
      <c r="D6" s="95"/>
      <c r="E6" s="94"/>
      <c r="F6" s="95">
        <v>5</v>
      </c>
      <c r="G6" s="98">
        <v>46423</v>
      </c>
      <c r="H6" s="95"/>
      <c r="I6" s="94"/>
      <c r="J6" s="95">
        <v>17</v>
      </c>
      <c r="K6" s="98">
        <v>46788</v>
      </c>
      <c r="L6" s="98"/>
      <c r="M6" s="94"/>
      <c r="N6" s="95">
        <v>29</v>
      </c>
      <c r="O6" s="98">
        <v>47154</v>
      </c>
      <c r="P6" s="95"/>
      <c r="Q6" s="94"/>
      <c r="R6" s="94"/>
    </row>
    <row r="7" spans="2:18" x14ac:dyDescent="0.3">
      <c r="B7" s="95">
        <v>3</v>
      </c>
      <c r="C7" s="97">
        <v>46361</v>
      </c>
      <c r="D7" s="95"/>
      <c r="E7" s="94"/>
      <c r="F7" s="95">
        <v>6</v>
      </c>
      <c r="G7" s="98">
        <v>46451</v>
      </c>
      <c r="H7" s="95"/>
      <c r="I7" s="94"/>
      <c r="J7" s="95">
        <v>18</v>
      </c>
      <c r="K7" s="98">
        <v>46817</v>
      </c>
      <c r="L7" s="98"/>
      <c r="M7" s="94"/>
      <c r="N7" s="95">
        <v>30</v>
      </c>
      <c r="O7" s="98">
        <v>47182</v>
      </c>
      <c r="P7" s="95"/>
      <c r="Q7" s="94"/>
      <c r="R7" s="94"/>
    </row>
    <row r="8" spans="2:18" x14ac:dyDescent="0.3">
      <c r="B8" s="94"/>
      <c r="C8" s="94"/>
      <c r="D8" s="94"/>
      <c r="E8" s="94"/>
      <c r="F8" s="95">
        <v>7</v>
      </c>
      <c r="G8" s="98">
        <v>46482</v>
      </c>
      <c r="H8" s="95"/>
      <c r="I8" s="94"/>
      <c r="J8" s="95">
        <v>19</v>
      </c>
      <c r="K8" s="98">
        <v>46848</v>
      </c>
      <c r="L8" s="98"/>
      <c r="M8" s="94"/>
      <c r="N8" s="95">
        <v>31</v>
      </c>
      <c r="O8" s="98">
        <v>47213</v>
      </c>
      <c r="P8" s="95"/>
      <c r="Q8" s="94"/>
      <c r="R8" s="94"/>
    </row>
    <row r="9" spans="2:18" x14ac:dyDescent="0.3">
      <c r="B9" s="94"/>
      <c r="C9" s="94"/>
      <c r="D9" s="94"/>
      <c r="E9" s="94"/>
      <c r="F9" s="95">
        <v>8</v>
      </c>
      <c r="G9" s="98">
        <v>46512</v>
      </c>
      <c r="H9" s="95"/>
      <c r="I9" s="94"/>
      <c r="J9" s="95">
        <v>20</v>
      </c>
      <c r="K9" s="98">
        <v>46878</v>
      </c>
      <c r="L9" s="98"/>
      <c r="M9" s="94"/>
      <c r="N9" s="95">
        <v>32</v>
      </c>
      <c r="O9" s="98">
        <v>47243</v>
      </c>
      <c r="P9" s="95"/>
      <c r="Q9" s="94"/>
      <c r="R9" s="94"/>
    </row>
    <row r="10" spans="2:18" x14ac:dyDescent="0.3">
      <c r="B10" s="94"/>
      <c r="C10" s="94"/>
      <c r="D10" s="94"/>
      <c r="E10" s="94"/>
      <c r="F10" s="95">
        <v>9</v>
      </c>
      <c r="G10" s="98">
        <v>46543</v>
      </c>
      <c r="H10" s="95"/>
      <c r="I10" s="94"/>
      <c r="J10" s="95">
        <v>21</v>
      </c>
      <c r="K10" s="98">
        <v>46909</v>
      </c>
      <c r="L10" s="98"/>
      <c r="M10" s="94"/>
      <c r="N10" s="95">
        <v>33</v>
      </c>
      <c r="O10" s="98">
        <v>47274</v>
      </c>
      <c r="P10" s="95"/>
      <c r="Q10" s="94"/>
      <c r="R10" s="94"/>
    </row>
    <row r="11" spans="2:18" x14ac:dyDescent="0.3">
      <c r="B11" s="94"/>
      <c r="C11" s="94"/>
      <c r="D11" s="94"/>
      <c r="E11" s="94"/>
      <c r="F11" s="95">
        <v>10</v>
      </c>
      <c r="G11" s="98">
        <v>46573</v>
      </c>
      <c r="H11" s="95"/>
      <c r="I11" s="94"/>
      <c r="J11" s="95">
        <v>22</v>
      </c>
      <c r="K11" s="98">
        <v>46939</v>
      </c>
      <c r="L11" s="98"/>
      <c r="M11" s="94"/>
      <c r="N11" s="95">
        <v>34</v>
      </c>
      <c r="O11" s="98">
        <v>47304</v>
      </c>
      <c r="P11" s="95"/>
      <c r="Q11" s="94"/>
      <c r="R11" s="94"/>
    </row>
    <row r="12" spans="2:18" x14ac:dyDescent="0.3">
      <c r="B12" s="94"/>
      <c r="C12" s="94"/>
      <c r="D12" s="94"/>
      <c r="E12" s="94"/>
      <c r="F12" s="95">
        <v>11</v>
      </c>
      <c r="G12" s="98">
        <v>46604</v>
      </c>
      <c r="H12" s="95"/>
      <c r="I12" s="94"/>
      <c r="J12" s="95">
        <v>23</v>
      </c>
      <c r="K12" s="98">
        <v>46970</v>
      </c>
      <c r="L12" s="98"/>
      <c r="M12" s="94"/>
      <c r="N12" s="95">
        <v>35</v>
      </c>
      <c r="O12" s="98">
        <v>47335</v>
      </c>
      <c r="P12" s="95"/>
      <c r="Q12" s="94"/>
      <c r="R12" s="94"/>
    </row>
    <row r="13" spans="2:18" x14ac:dyDescent="0.3">
      <c r="B13" s="94"/>
      <c r="C13" s="94"/>
      <c r="D13" s="94"/>
      <c r="E13" s="94"/>
      <c r="F13" s="95">
        <v>12</v>
      </c>
      <c r="G13" s="98">
        <v>46635</v>
      </c>
      <c r="H13" s="95"/>
      <c r="I13" s="94"/>
      <c r="J13" s="95">
        <v>24</v>
      </c>
      <c r="K13" s="98">
        <v>47001</v>
      </c>
      <c r="L13" s="98"/>
      <c r="M13" s="94"/>
      <c r="N13" s="95">
        <v>36</v>
      </c>
      <c r="O13" s="98">
        <v>47366</v>
      </c>
      <c r="P13" s="95"/>
      <c r="Q13" s="94"/>
      <c r="R13" s="94"/>
    </row>
    <row r="14" spans="2:18" x14ac:dyDescent="0.3">
      <c r="B14" s="94"/>
      <c r="C14" s="94"/>
      <c r="D14" s="94"/>
      <c r="E14" s="94"/>
      <c r="F14" s="95">
        <v>13</v>
      </c>
      <c r="G14" s="98">
        <v>46665</v>
      </c>
      <c r="H14" s="95"/>
      <c r="I14" s="94"/>
      <c r="J14" s="95">
        <v>25</v>
      </c>
      <c r="K14" s="98">
        <v>47031</v>
      </c>
      <c r="L14" s="98"/>
      <c r="M14" s="94"/>
      <c r="N14" s="95">
        <v>37</v>
      </c>
      <c r="O14" s="98">
        <v>47396</v>
      </c>
      <c r="P14" s="95"/>
      <c r="Q14" s="94"/>
      <c r="R14" s="94"/>
    </row>
    <row r="15" spans="2:18" x14ac:dyDescent="0.3">
      <c r="B15" s="94"/>
      <c r="C15" s="94"/>
      <c r="D15" s="94"/>
      <c r="E15" s="94"/>
      <c r="F15" s="95">
        <v>14</v>
      </c>
      <c r="G15" s="98">
        <v>46696</v>
      </c>
      <c r="H15" s="95"/>
      <c r="I15" s="94"/>
      <c r="J15" s="95">
        <v>26</v>
      </c>
      <c r="K15" s="98">
        <v>47062</v>
      </c>
      <c r="L15" s="98"/>
      <c r="M15" s="94"/>
      <c r="N15" s="95">
        <v>38</v>
      </c>
      <c r="O15" s="98">
        <v>47427</v>
      </c>
      <c r="P15" s="95"/>
      <c r="Q15" s="94"/>
      <c r="R15" s="94"/>
    </row>
    <row r="16" spans="2:18" x14ac:dyDescent="0.3">
      <c r="B16" s="94"/>
      <c r="C16" s="94"/>
      <c r="D16" s="94"/>
      <c r="E16" s="94"/>
      <c r="F16" s="95">
        <v>15</v>
      </c>
      <c r="G16" s="98">
        <v>46726</v>
      </c>
      <c r="H16" s="95"/>
      <c r="I16" s="94"/>
      <c r="J16" s="95">
        <v>27</v>
      </c>
      <c r="K16" s="98">
        <v>47092</v>
      </c>
      <c r="L16" s="98"/>
      <c r="M16" s="94"/>
      <c r="N16" s="95">
        <v>39</v>
      </c>
      <c r="O16" s="98">
        <v>47457</v>
      </c>
      <c r="P16" s="95"/>
      <c r="Q16" s="94"/>
      <c r="R16" s="94"/>
    </row>
    <row r="17" spans="2:18" x14ac:dyDescent="0.3">
      <c r="B17" s="94"/>
      <c r="C17" s="94"/>
      <c r="D17" s="94"/>
      <c r="E17" s="94"/>
      <c r="F17" s="94"/>
      <c r="G17" s="94"/>
      <c r="H17" s="94"/>
      <c r="I17" s="94"/>
      <c r="J17" s="94"/>
      <c r="K17" s="100"/>
      <c r="L17" s="100"/>
      <c r="M17" s="94"/>
      <c r="N17" s="94"/>
      <c r="O17" s="100"/>
      <c r="P17" s="94"/>
      <c r="Q17" s="94"/>
      <c r="R17" s="94"/>
    </row>
    <row r="18" spans="2:18" ht="15" thickBot="1" x14ac:dyDescent="0.35">
      <c r="B18" s="94"/>
      <c r="C18" s="94"/>
      <c r="D18" s="94"/>
      <c r="E18" s="94"/>
      <c r="F18" s="94"/>
      <c r="G18" s="94"/>
      <c r="H18" s="94"/>
      <c r="I18" s="94"/>
      <c r="J18" s="94"/>
      <c r="K18" s="100"/>
      <c r="L18" s="100"/>
      <c r="M18" s="94"/>
      <c r="N18" s="94"/>
      <c r="O18" s="100"/>
      <c r="P18" s="94"/>
      <c r="Q18" s="94"/>
      <c r="R18" s="94"/>
    </row>
    <row r="19" spans="2:18" ht="15" thickBot="1" x14ac:dyDescent="0.35">
      <c r="B19" s="108">
        <v>2030</v>
      </c>
      <c r="C19" s="109"/>
      <c r="D19" s="110"/>
      <c r="E19" s="94"/>
      <c r="F19" s="108">
        <v>2031</v>
      </c>
      <c r="G19" s="109"/>
      <c r="H19" s="110"/>
      <c r="I19" s="94"/>
      <c r="J19" s="108">
        <v>2032</v>
      </c>
      <c r="K19" s="109"/>
      <c r="L19" s="110"/>
      <c r="M19" s="94"/>
      <c r="N19" s="108">
        <v>2033</v>
      </c>
      <c r="O19" s="109"/>
      <c r="P19" s="110"/>
      <c r="Q19" s="94"/>
      <c r="R19" s="94"/>
    </row>
    <row r="20" spans="2:18" x14ac:dyDescent="0.3">
      <c r="B20" s="96">
        <v>40</v>
      </c>
      <c r="C20" s="97">
        <v>47488</v>
      </c>
      <c r="D20" s="96"/>
      <c r="E20" s="94"/>
      <c r="F20" s="96">
        <v>52</v>
      </c>
      <c r="G20" s="97">
        <v>47853</v>
      </c>
      <c r="H20" s="96"/>
      <c r="I20" s="94"/>
      <c r="J20" s="96">
        <v>64</v>
      </c>
      <c r="K20" s="97">
        <v>48218</v>
      </c>
      <c r="L20" s="97"/>
      <c r="M20" s="94"/>
      <c r="N20" s="96">
        <v>76</v>
      </c>
      <c r="O20" s="97">
        <v>48584</v>
      </c>
      <c r="P20" s="96"/>
      <c r="Q20" s="94"/>
      <c r="R20" s="94"/>
    </row>
    <row r="21" spans="2:18" x14ac:dyDescent="0.3">
      <c r="B21" s="95">
        <v>41</v>
      </c>
      <c r="C21" s="98">
        <v>47519</v>
      </c>
      <c r="D21" s="95"/>
      <c r="E21" s="94"/>
      <c r="F21" s="95">
        <v>53</v>
      </c>
      <c r="G21" s="98">
        <v>47884</v>
      </c>
      <c r="H21" s="95"/>
      <c r="I21" s="94"/>
      <c r="J21" s="95">
        <v>65</v>
      </c>
      <c r="K21" s="98">
        <v>48249</v>
      </c>
      <c r="L21" s="98"/>
      <c r="M21" s="94"/>
      <c r="N21" s="95">
        <v>77</v>
      </c>
      <c r="O21" s="98">
        <v>48615</v>
      </c>
      <c r="P21" s="95"/>
      <c r="Q21" s="94"/>
      <c r="R21" s="94"/>
    </row>
    <row r="22" spans="2:18" x14ac:dyDescent="0.3">
      <c r="B22" s="95">
        <v>42</v>
      </c>
      <c r="C22" s="98">
        <v>47547</v>
      </c>
      <c r="D22" s="95"/>
      <c r="E22" s="94"/>
      <c r="F22" s="95">
        <v>54</v>
      </c>
      <c r="G22" s="98">
        <v>47912</v>
      </c>
      <c r="H22" s="95"/>
      <c r="I22" s="94"/>
      <c r="J22" s="95">
        <v>66</v>
      </c>
      <c r="K22" s="98">
        <v>48278</v>
      </c>
      <c r="L22" s="98"/>
      <c r="M22" s="94"/>
      <c r="N22" s="95">
        <v>78</v>
      </c>
      <c r="O22" s="98">
        <v>48643</v>
      </c>
      <c r="P22" s="95"/>
      <c r="Q22" s="94"/>
      <c r="R22" s="94"/>
    </row>
    <row r="23" spans="2:18" x14ac:dyDescent="0.3">
      <c r="B23" s="95">
        <v>43</v>
      </c>
      <c r="C23" s="98">
        <v>47578</v>
      </c>
      <c r="D23" s="95"/>
      <c r="E23" s="94"/>
      <c r="F23" s="95">
        <v>55</v>
      </c>
      <c r="G23" s="98">
        <v>47943</v>
      </c>
      <c r="H23" s="95"/>
      <c r="I23" s="94"/>
      <c r="J23" s="95">
        <v>67</v>
      </c>
      <c r="K23" s="98">
        <v>48309</v>
      </c>
      <c r="L23" s="98"/>
      <c r="M23" s="94"/>
      <c r="N23" s="95">
        <v>79</v>
      </c>
      <c r="O23" s="98">
        <v>48674</v>
      </c>
      <c r="P23" s="95"/>
      <c r="Q23" s="94"/>
      <c r="R23" s="94"/>
    </row>
    <row r="24" spans="2:18" x14ac:dyDescent="0.3">
      <c r="B24" s="95">
        <v>44</v>
      </c>
      <c r="C24" s="98">
        <v>47608</v>
      </c>
      <c r="D24" s="95"/>
      <c r="E24" s="94"/>
      <c r="F24" s="95">
        <v>56</v>
      </c>
      <c r="G24" s="98">
        <v>47973</v>
      </c>
      <c r="H24" s="95"/>
      <c r="I24" s="94"/>
      <c r="J24" s="95">
        <v>68</v>
      </c>
      <c r="K24" s="98">
        <v>48339</v>
      </c>
      <c r="L24" s="98"/>
      <c r="M24" s="94"/>
      <c r="N24" s="95">
        <v>80</v>
      </c>
      <c r="O24" s="98">
        <v>48704</v>
      </c>
      <c r="P24" s="95"/>
      <c r="Q24" s="94"/>
      <c r="R24" s="94"/>
    </row>
    <row r="25" spans="2:18" x14ac:dyDescent="0.3">
      <c r="B25" s="95">
        <v>45</v>
      </c>
      <c r="C25" s="98">
        <v>47639</v>
      </c>
      <c r="D25" s="95"/>
      <c r="E25" s="94"/>
      <c r="F25" s="95">
        <v>57</v>
      </c>
      <c r="G25" s="98">
        <v>48004</v>
      </c>
      <c r="H25" s="95"/>
      <c r="I25" s="94"/>
      <c r="J25" s="95">
        <v>69</v>
      </c>
      <c r="K25" s="98">
        <v>48370</v>
      </c>
      <c r="L25" s="98"/>
      <c r="M25" s="94"/>
      <c r="N25" s="95">
        <v>81</v>
      </c>
      <c r="O25" s="98">
        <v>48735</v>
      </c>
      <c r="P25" s="95"/>
      <c r="Q25" s="94"/>
      <c r="R25" s="94"/>
    </row>
    <row r="26" spans="2:18" x14ac:dyDescent="0.3">
      <c r="B26" s="95">
        <v>46</v>
      </c>
      <c r="C26" s="98">
        <v>47669</v>
      </c>
      <c r="D26" s="95"/>
      <c r="E26" s="94"/>
      <c r="F26" s="95">
        <v>58</v>
      </c>
      <c r="G26" s="98">
        <v>48034</v>
      </c>
      <c r="H26" s="95"/>
      <c r="I26" s="94"/>
      <c r="J26" s="95">
        <v>70</v>
      </c>
      <c r="K26" s="98">
        <v>48400</v>
      </c>
      <c r="L26" s="98"/>
      <c r="M26" s="94"/>
      <c r="N26" s="95">
        <v>82</v>
      </c>
      <c r="O26" s="98">
        <v>48765</v>
      </c>
      <c r="P26" s="95"/>
      <c r="Q26" s="94"/>
      <c r="R26" s="94"/>
    </row>
    <row r="27" spans="2:18" x14ac:dyDescent="0.3">
      <c r="B27" s="95">
        <v>47</v>
      </c>
      <c r="C27" s="98">
        <v>47700</v>
      </c>
      <c r="D27" s="95"/>
      <c r="E27" s="94"/>
      <c r="F27" s="95">
        <v>59</v>
      </c>
      <c r="G27" s="98">
        <v>48065</v>
      </c>
      <c r="H27" s="95"/>
      <c r="I27" s="94"/>
      <c r="J27" s="95">
        <v>71</v>
      </c>
      <c r="K27" s="98">
        <v>48431</v>
      </c>
      <c r="L27" s="98"/>
      <c r="M27" s="94"/>
      <c r="N27" s="95">
        <v>83</v>
      </c>
      <c r="O27" s="98">
        <v>48796</v>
      </c>
      <c r="P27" s="95"/>
      <c r="Q27" s="94"/>
      <c r="R27" s="94"/>
    </row>
    <row r="28" spans="2:18" x14ac:dyDescent="0.3">
      <c r="B28" s="95">
        <v>48</v>
      </c>
      <c r="C28" s="98">
        <v>47731</v>
      </c>
      <c r="D28" s="95"/>
      <c r="E28" s="94"/>
      <c r="F28" s="95">
        <v>60</v>
      </c>
      <c r="G28" s="98">
        <v>48096</v>
      </c>
      <c r="H28" s="95"/>
      <c r="I28" s="94"/>
      <c r="J28" s="95">
        <v>72</v>
      </c>
      <c r="K28" s="98">
        <v>48462</v>
      </c>
      <c r="L28" s="98"/>
      <c r="M28" s="94"/>
      <c r="N28" s="95">
        <v>84</v>
      </c>
      <c r="O28" s="98">
        <v>48827</v>
      </c>
      <c r="P28" s="95"/>
      <c r="Q28" s="94"/>
      <c r="R28" s="94"/>
    </row>
    <row r="29" spans="2:18" x14ac:dyDescent="0.3">
      <c r="B29" s="95">
        <v>49</v>
      </c>
      <c r="C29" s="98">
        <v>47761</v>
      </c>
      <c r="D29" s="95"/>
      <c r="E29" s="94"/>
      <c r="F29" s="95">
        <v>61</v>
      </c>
      <c r="G29" s="98">
        <v>48126</v>
      </c>
      <c r="H29" s="95"/>
      <c r="I29" s="94"/>
      <c r="J29" s="95">
        <v>73</v>
      </c>
      <c r="K29" s="98">
        <v>48492</v>
      </c>
      <c r="L29" s="98"/>
      <c r="M29" s="94"/>
      <c r="N29" s="95">
        <v>85</v>
      </c>
      <c r="O29" s="98">
        <v>48857</v>
      </c>
      <c r="P29" s="95"/>
      <c r="Q29" s="94"/>
      <c r="R29" s="94"/>
    </row>
    <row r="30" spans="2:18" x14ac:dyDescent="0.3">
      <c r="B30" s="95">
        <v>50</v>
      </c>
      <c r="C30" s="98">
        <v>47792</v>
      </c>
      <c r="D30" s="95"/>
      <c r="E30" s="94"/>
      <c r="F30" s="95">
        <v>62</v>
      </c>
      <c r="G30" s="98">
        <v>48157</v>
      </c>
      <c r="H30" s="95"/>
      <c r="I30" s="94"/>
      <c r="J30" s="95">
        <v>74</v>
      </c>
      <c r="K30" s="98">
        <v>48523</v>
      </c>
      <c r="L30" s="98"/>
      <c r="M30" s="94"/>
      <c r="N30" s="95">
        <v>86</v>
      </c>
      <c r="O30" s="98">
        <v>48888</v>
      </c>
      <c r="P30" s="95"/>
      <c r="Q30" s="94"/>
      <c r="R30" s="94"/>
    </row>
    <row r="31" spans="2:18" x14ac:dyDescent="0.3">
      <c r="B31" s="95">
        <v>51</v>
      </c>
      <c r="C31" s="98">
        <v>47822</v>
      </c>
      <c r="D31" s="95"/>
      <c r="E31" s="94"/>
      <c r="F31" s="95">
        <v>63</v>
      </c>
      <c r="G31" s="98">
        <v>48187</v>
      </c>
      <c r="H31" s="95"/>
      <c r="I31" s="94"/>
      <c r="J31" s="95">
        <v>75</v>
      </c>
      <c r="K31" s="98">
        <v>48553</v>
      </c>
      <c r="L31" s="98"/>
      <c r="M31" s="94"/>
      <c r="N31" s="95">
        <v>87</v>
      </c>
      <c r="O31" s="98">
        <v>48918</v>
      </c>
      <c r="P31" s="95"/>
      <c r="Q31" s="94"/>
      <c r="R31" s="94"/>
    </row>
    <row r="32" spans="2:18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100"/>
      <c r="P32" s="94"/>
      <c r="Q32" s="94"/>
      <c r="R32" s="94"/>
    </row>
    <row r="33" spans="2:18" ht="15" thickBot="1" x14ac:dyDescent="0.35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100"/>
      <c r="P33" s="94"/>
      <c r="Q33" s="94"/>
      <c r="R33" s="94"/>
    </row>
    <row r="34" spans="2:18" ht="15" thickBot="1" x14ac:dyDescent="0.35">
      <c r="B34" s="108">
        <v>2034</v>
      </c>
      <c r="C34" s="109"/>
      <c r="D34" s="110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100"/>
      <c r="P34" s="94"/>
      <c r="Q34" s="94"/>
      <c r="R34" s="94"/>
    </row>
    <row r="35" spans="2:18" x14ac:dyDescent="0.3">
      <c r="B35" s="96">
        <v>88</v>
      </c>
      <c r="C35" s="97">
        <v>48949</v>
      </c>
      <c r="D35" s="96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100"/>
      <c r="P35" s="94"/>
      <c r="Q35" s="94"/>
      <c r="R35" s="94"/>
    </row>
    <row r="36" spans="2:18" x14ac:dyDescent="0.3">
      <c r="B36" s="95">
        <v>89</v>
      </c>
      <c r="C36" s="98">
        <v>48980</v>
      </c>
      <c r="D36" s="95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100"/>
      <c r="P36" s="94"/>
      <c r="Q36" s="94"/>
      <c r="R36" s="94"/>
    </row>
    <row r="37" spans="2:18" x14ac:dyDescent="0.3">
      <c r="B37" s="95">
        <v>90</v>
      </c>
      <c r="C37" s="98">
        <v>49008</v>
      </c>
      <c r="D37" s="95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100"/>
      <c r="P37" s="94"/>
      <c r="Q37" s="94"/>
      <c r="R37" s="94"/>
    </row>
    <row r="38" spans="2:18" x14ac:dyDescent="0.3">
      <c r="B38" s="95">
        <v>91</v>
      </c>
      <c r="C38" s="98">
        <v>49039</v>
      </c>
      <c r="D38" s="95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100"/>
      <c r="P38" s="94"/>
      <c r="Q38" s="94"/>
      <c r="R38" s="94"/>
    </row>
    <row r="39" spans="2:18" x14ac:dyDescent="0.3">
      <c r="B39" s="95">
        <v>92</v>
      </c>
      <c r="C39" s="98">
        <v>49069</v>
      </c>
      <c r="D39" s="95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100"/>
      <c r="P39" s="94"/>
      <c r="Q39" s="94"/>
      <c r="R39" s="94"/>
    </row>
    <row r="40" spans="2:18" x14ac:dyDescent="0.3">
      <c r="B40" s="95">
        <v>93</v>
      </c>
      <c r="C40" s="98">
        <v>49100</v>
      </c>
      <c r="D40" s="95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100"/>
      <c r="P40" s="94"/>
      <c r="Q40" s="94"/>
      <c r="R40" s="94"/>
    </row>
    <row r="41" spans="2:18" x14ac:dyDescent="0.3">
      <c r="B41" s="95">
        <v>94</v>
      </c>
      <c r="C41" s="98">
        <v>49130</v>
      </c>
      <c r="D41" s="95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100"/>
      <c r="P41" s="94"/>
      <c r="Q41" s="94"/>
      <c r="R41" s="94"/>
    </row>
    <row r="42" spans="2:18" x14ac:dyDescent="0.3">
      <c r="B42" s="95">
        <v>95</v>
      </c>
      <c r="C42" s="98">
        <v>49161</v>
      </c>
      <c r="D42" s="95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100"/>
      <c r="P42" s="94"/>
      <c r="Q42" s="94"/>
      <c r="R42" s="94"/>
    </row>
    <row r="43" spans="2:18" x14ac:dyDescent="0.3">
      <c r="B43" s="95">
        <v>96</v>
      </c>
      <c r="C43" s="98">
        <v>49192</v>
      </c>
      <c r="D43" s="95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100"/>
      <c r="P43" s="94"/>
      <c r="Q43" s="94"/>
      <c r="R43" s="94"/>
    </row>
    <row r="44" spans="2:18" x14ac:dyDescent="0.3"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100"/>
      <c r="P44" s="94"/>
      <c r="Q44" s="94"/>
      <c r="R44" s="94"/>
    </row>
    <row r="45" spans="2:18" x14ac:dyDescent="0.3"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100"/>
      <c r="P45" s="94"/>
      <c r="Q45" s="94"/>
      <c r="R45" s="94"/>
    </row>
    <row r="46" spans="2:18" x14ac:dyDescent="0.3"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100"/>
      <c r="P46" s="94"/>
      <c r="Q46" s="94"/>
      <c r="R46" s="94"/>
    </row>
    <row r="47" spans="2:18" x14ac:dyDescent="0.3">
      <c r="N47" s="94"/>
      <c r="O47" s="99"/>
    </row>
    <row r="48" spans="2:18" x14ac:dyDescent="0.3">
      <c r="N48" s="94"/>
      <c r="O48" s="99"/>
    </row>
    <row r="49" spans="14:15" x14ac:dyDescent="0.3">
      <c r="N49" s="94"/>
      <c r="O49" s="99"/>
    </row>
    <row r="50" spans="14:15" x14ac:dyDescent="0.3">
      <c r="N50" s="94"/>
      <c r="O50" s="99"/>
    </row>
    <row r="51" spans="14:15" x14ac:dyDescent="0.3">
      <c r="N51" s="94"/>
      <c r="O51" s="99"/>
    </row>
    <row r="52" spans="14:15" x14ac:dyDescent="0.3">
      <c r="N52" s="94"/>
      <c r="O52" s="99"/>
    </row>
    <row r="53" spans="14:15" x14ac:dyDescent="0.3">
      <c r="N53" s="94"/>
      <c r="O53" s="99"/>
    </row>
    <row r="54" spans="14:15" x14ac:dyDescent="0.3">
      <c r="N54" s="94"/>
      <c r="O54" s="99"/>
    </row>
    <row r="55" spans="14:15" x14ac:dyDescent="0.3">
      <c r="N55" s="94"/>
      <c r="O55" s="99"/>
    </row>
    <row r="56" spans="14:15" x14ac:dyDescent="0.3">
      <c r="N56" s="94"/>
      <c r="O56" s="99"/>
    </row>
    <row r="57" spans="14:15" x14ac:dyDescent="0.3">
      <c r="N57" s="94"/>
      <c r="O57" s="99"/>
    </row>
    <row r="58" spans="14:15" x14ac:dyDescent="0.3">
      <c r="N58" s="94"/>
      <c r="O58" s="99"/>
    </row>
    <row r="59" spans="14:15" x14ac:dyDescent="0.3">
      <c r="N59" s="94"/>
      <c r="O59" s="99"/>
    </row>
    <row r="60" spans="14:15" x14ac:dyDescent="0.3">
      <c r="N60" s="94"/>
      <c r="O60" s="99"/>
    </row>
    <row r="61" spans="14:15" x14ac:dyDescent="0.3">
      <c r="N61" s="94"/>
      <c r="O61" s="99"/>
    </row>
    <row r="62" spans="14:15" x14ac:dyDescent="0.3">
      <c r="N62" s="94"/>
      <c r="O62" s="99"/>
    </row>
    <row r="63" spans="14:15" x14ac:dyDescent="0.3">
      <c r="N63" s="94"/>
      <c r="O63" s="99"/>
    </row>
    <row r="64" spans="14:15" x14ac:dyDescent="0.3">
      <c r="N64" s="94"/>
      <c r="O64" s="99"/>
    </row>
    <row r="65" spans="14:15" x14ac:dyDescent="0.3">
      <c r="N65" s="94"/>
      <c r="O65" s="99"/>
    </row>
    <row r="66" spans="14:15" x14ac:dyDescent="0.3">
      <c r="N66" s="94"/>
      <c r="O66" s="99"/>
    </row>
    <row r="67" spans="14:15" x14ac:dyDescent="0.3">
      <c r="N67" s="94"/>
      <c r="O67" s="99"/>
    </row>
    <row r="68" spans="14:15" x14ac:dyDescent="0.3">
      <c r="N68" s="94"/>
      <c r="O68" s="99"/>
    </row>
    <row r="69" spans="14:15" x14ac:dyDescent="0.3">
      <c r="N69" s="94"/>
      <c r="O69" s="99"/>
    </row>
    <row r="70" spans="14:15" x14ac:dyDescent="0.3">
      <c r="N70" s="94"/>
      <c r="O70" s="99"/>
    </row>
    <row r="71" spans="14:15" x14ac:dyDescent="0.3">
      <c r="N71" s="94"/>
      <c r="O71" s="99"/>
    </row>
    <row r="72" spans="14:15" x14ac:dyDescent="0.3">
      <c r="N72" s="94"/>
      <c r="O72" s="99"/>
    </row>
    <row r="73" spans="14:15" x14ac:dyDescent="0.3">
      <c r="N73" s="94"/>
      <c r="O73" s="99"/>
    </row>
    <row r="74" spans="14:15" x14ac:dyDescent="0.3">
      <c r="N74" s="94"/>
      <c r="O74" s="99"/>
    </row>
  </sheetData>
  <mergeCells count="10">
    <mergeCell ref="B2:D2"/>
    <mergeCell ref="B34:D34"/>
    <mergeCell ref="B4:D4"/>
    <mergeCell ref="F4:H4"/>
    <mergeCell ref="J4:L4"/>
    <mergeCell ref="N4:P4"/>
    <mergeCell ref="B19:D19"/>
    <mergeCell ref="F19:H19"/>
    <mergeCell ref="J19:L19"/>
    <mergeCell ref="N19:P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4"/>
  <sheetViews>
    <sheetView topLeftCell="A7" workbookViewId="0">
      <selection activeCell="E18" sqref="E18"/>
    </sheetView>
  </sheetViews>
  <sheetFormatPr defaultColWidth="14.44140625" defaultRowHeight="15" customHeight="1" x14ac:dyDescent="0.3"/>
  <cols>
    <col min="1" max="1" width="8.6640625" customWidth="1"/>
    <col min="2" max="2" width="14.33203125" customWidth="1"/>
    <col min="4" max="6" width="15.44140625" customWidth="1"/>
    <col min="7" max="7" width="14.6640625" customWidth="1"/>
    <col min="8" max="8" width="11.88671875" customWidth="1"/>
    <col min="9" max="9" width="11.5546875" customWidth="1"/>
    <col min="10" max="10" width="12.109375" customWidth="1"/>
    <col min="11" max="12" width="15.109375" customWidth="1"/>
    <col min="13" max="13" width="20.33203125" customWidth="1"/>
    <col min="14" max="14" width="14.33203125" customWidth="1"/>
    <col min="15" max="26" width="8.6640625" customWidth="1"/>
  </cols>
  <sheetData>
    <row r="1" spans="2:15" ht="14.25" customHeight="1" x14ac:dyDescent="0.3">
      <c r="C1" s="2"/>
      <c r="E1" s="3"/>
      <c r="G1" s="3"/>
      <c r="H1" s="4"/>
    </row>
    <row r="2" spans="2:15" ht="14.25" customHeight="1" x14ac:dyDescent="0.3">
      <c r="B2" s="105" t="s">
        <v>0</v>
      </c>
      <c r="C2" s="106"/>
      <c r="D2" s="106"/>
      <c r="E2" s="106"/>
      <c r="F2" s="106"/>
      <c r="G2" s="107"/>
      <c r="H2" s="4"/>
    </row>
    <row r="3" spans="2:15" ht="14.25" customHeight="1" x14ac:dyDescent="0.3">
      <c r="B3" s="5" t="s">
        <v>1</v>
      </c>
      <c r="C3" s="6" t="s">
        <v>2</v>
      </c>
      <c r="D3" s="7" t="s">
        <v>3</v>
      </c>
      <c r="E3" s="8" t="s">
        <v>4</v>
      </c>
      <c r="F3" s="9" t="s">
        <v>5</v>
      </c>
      <c r="G3" s="10" t="s">
        <v>6</v>
      </c>
      <c r="H3" s="4"/>
    </row>
    <row r="4" spans="2:15" ht="14.25" customHeight="1" x14ac:dyDescent="0.3">
      <c r="B4" s="11">
        <v>45579</v>
      </c>
      <c r="C4" s="12">
        <v>0</v>
      </c>
      <c r="D4" s="13"/>
      <c r="E4" s="14">
        <v>44724.1</v>
      </c>
      <c r="F4" s="15">
        <v>1142</v>
      </c>
      <c r="G4" s="16">
        <f t="shared" ref="G4:G67" si="0">E4-C4</f>
        <v>44724.1</v>
      </c>
      <c r="H4" s="4"/>
    </row>
    <row r="5" spans="2:15" ht="14.25" customHeight="1" x14ac:dyDescent="0.3">
      <c r="B5" s="17">
        <v>45586</v>
      </c>
      <c r="C5" s="18">
        <v>0</v>
      </c>
      <c r="D5" s="19"/>
      <c r="E5" s="20">
        <v>55826.18</v>
      </c>
      <c r="F5" s="21">
        <v>1827</v>
      </c>
      <c r="G5" s="22">
        <f t="shared" si="0"/>
        <v>55826.18</v>
      </c>
      <c r="H5" s="4"/>
    </row>
    <row r="6" spans="2:15" ht="14.25" customHeight="1" x14ac:dyDescent="0.3">
      <c r="B6" s="17">
        <v>45593</v>
      </c>
      <c r="C6" s="18">
        <v>0</v>
      </c>
      <c r="D6" s="19"/>
      <c r="E6" s="20">
        <v>58944.22</v>
      </c>
      <c r="F6" s="21">
        <v>1970</v>
      </c>
      <c r="G6" s="22">
        <f t="shared" si="0"/>
        <v>58944.22</v>
      </c>
      <c r="H6" s="4"/>
    </row>
    <row r="7" spans="2:15" ht="14.25" customHeight="1" x14ac:dyDescent="0.3">
      <c r="B7" s="17">
        <v>45600</v>
      </c>
      <c r="C7" s="18">
        <v>0</v>
      </c>
      <c r="D7" s="19"/>
      <c r="E7" s="20">
        <v>56355.22</v>
      </c>
      <c r="F7" s="21">
        <v>1866</v>
      </c>
      <c r="G7" s="22">
        <f t="shared" si="0"/>
        <v>56355.22</v>
      </c>
      <c r="H7" s="4"/>
    </row>
    <row r="8" spans="2:15" ht="14.25" customHeight="1" x14ac:dyDescent="0.3">
      <c r="B8" s="17">
        <v>45607</v>
      </c>
      <c r="C8" s="18">
        <v>0</v>
      </c>
      <c r="D8" s="19"/>
      <c r="E8" s="20">
        <v>56715.48</v>
      </c>
      <c r="F8" s="21">
        <v>1903</v>
      </c>
      <c r="G8" s="22">
        <f t="shared" si="0"/>
        <v>56715.48</v>
      </c>
      <c r="H8" s="4"/>
    </row>
    <row r="9" spans="2:15" ht="14.25" customHeight="1" x14ac:dyDescent="0.3">
      <c r="B9" s="17">
        <v>45614</v>
      </c>
      <c r="C9" s="18">
        <v>0</v>
      </c>
      <c r="D9" s="19"/>
      <c r="E9" s="20">
        <v>56818.71</v>
      </c>
      <c r="F9" s="21">
        <v>1909</v>
      </c>
      <c r="G9" s="22">
        <f t="shared" si="0"/>
        <v>56818.71</v>
      </c>
      <c r="H9" s="4"/>
    </row>
    <row r="10" spans="2:15" ht="14.25" customHeight="1" x14ac:dyDescent="0.3">
      <c r="B10" s="17">
        <v>45621</v>
      </c>
      <c r="C10" s="23">
        <v>0</v>
      </c>
      <c r="D10" s="19"/>
      <c r="E10" s="20">
        <v>55234.58</v>
      </c>
      <c r="F10" s="21">
        <v>1951</v>
      </c>
      <c r="G10" s="22">
        <f t="shared" si="0"/>
        <v>55234.58</v>
      </c>
      <c r="H10" s="4"/>
    </row>
    <row r="11" spans="2:15" ht="14.25" customHeight="1" x14ac:dyDescent="0.3">
      <c r="B11" s="24">
        <v>45628</v>
      </c>
      <c r="C11" s="25">
        <v>0</v>
      </c>
      <c r="D11" s="13"/>
      <c r="E11" s="14">
        <v>58846.29</v>
      </c>
      <c r="F11" s="15">
        <v>1891</v>
      </c>
      <c r="G11" s="16">
        <f t="shared" si="0"/>
        <v>58846.29</v>
      </c>
      <c r="H11" s="4"/>
      <c r="I11" s="115" t="s">
        <v>7</v>
      </c>
      <c r="J11" s="106"/>
      <c r="K11" s="107"/>
      <c r="M11" s="115" t="s">
        <v>8</v>
      </c>
      <c r="N11" s="107"/>
    </row>
    <row r="12" spans="2:15" ht="14.25" customHeight="1" x14ac:dyDescent="0.3">
      <c r="B12" s="17">
        <v>45635</v>
      </c>
      <c r="C12" s="23">
        <v>0</v>
      </c>
      <c r="D12" s="19"/>
      <c r="E12" s="20">
        <v>56578.59</v>
      </c>
      <c r="F12" s="21">
        <v>1863</v>
      </c>
      <c r="G12" s="22">
        <f t="shared" si="0"/>
        <v>56578.59</v>
      </c>
      <c r="H12" s="4"/>
      <c r="I12" s="26" t="s">
        <v>1</v>
      </c>
      <c r="J12" s="26" t="s">
        <v>2</v>
      </c>
      <c r="K12" s="27" t="s">
        <v>3</v>
      </c>
      <c r="L12" s="28"/>
      <c r="M12" s="29" t="s">
        <v>9</v>
      </c>
      <c r="N12" s="30"/>
      <c r="O12" s="2">
        <v>30</v>
      </c>
    </row>
    <row r="13" spans="2:15" ht="14.25" customHeight="1" x14ac:dyDescent="0.3">
      <c r="B13" s="17">
        <v>45642</v>
      </c>
      <c r="C13" s="23">
        <v>0</v>
      </c>
      <c r="D13" s="19"/>
      <c r="E13" s="20">
        <v>51939.12</v>
      </c>
      <c r="F13" s="21">
        <v>1795</v>
      </c>
      <c r="G13" s="22">
        <f t="shared" si="0"/>
        <v>51939.12</v>
      </c>
      <c r="H13" s="4"/>
      <c r="I13" s="31">
        <v>45607</v>
      </c>
      <c r="J13" s="32">
        <v>26331.47</v>
      </c>
      <c r="K13" s="33"/>
      <c r="M13" s="34" t="s">
        <v>10</v>
      </c>
      <c r="N13" s="35"/>
      <c r="O13" s="2">
        <v>30</v>
      </c>
    </row>
    <row r="14" spans="2:15" ht="14.25" customHeight="1" x14ac:dyDescent="0.3">
      <c r="B14" s="17">
        <v>45649</v>
      </c>
      <c r="C14" s="36">
        <v>39871.19</v>
      </c>
      <c r="D14" s="19" t="s">
        <v>11</v>
      </c>
      <c r="E14" s="20">
        <v>60232.95</v>
      </c>
      <c r="F14" s="21">
        <v>1843</v>
      </c>
      <c r="G14" s="22">
        <f t="shared" si="0"/>
        <v>20361.759999999995</v>
      </c>
      <c r="H14" s="4"/>
      <c r="I14" s="31">
        <v>45637</v>
      </c>
      <c r="J14" s="32">
        <v>26331</v>
      </c>
      <c r="K14" s="37" t="s">
        <v>12</v>
      </c>
      <c r="L14" s="2"/>
      <c r="M14" s="34" t="s">
        <v>13</v>
      </c>
      <c r="N14" s="35"/>
      <c r="O14" s="2">
        <v>30</v>
      </c>
    </row>
    <row r="15" spans="2:15" ht="14.25" customHeight="1" x14ac:dyDescent="0.3">
      <c r="B15" s="17">
        <v>45656</v>
      </c>
      <c r="C15" s="36">
        <v>47869.31</v>
      </c>
      <c r="D15" s="19" t="s">
        <v>14</v>
      </c>
      <c r="E15" s="20">
        <v>54326.36</v>
      </c>
      <c r="F15" s="21">
        <v>1578</v>
      </c>
      <c r="G15" s="22">
        <f t="shared" si="0"/>
        <v>6457.0500000000029</v>
      </c>
      <c r="H15" s="4"/>
      <c r="I15" s="31">
        <v>45668</v>
      </c>
      <c r="J15" s="32">
        <v>26331</v>
      </c>
      <c r="K15" s="37" t="s">
        <v>15</v>
      </c>
      <c r="L15" s="2"/>
      <c r="M15" s="34" t="s">
        <v>16</v>
      </c>
      <c r="N15" s="35"/>
      <c r="O15" s="2">
        <v>3</v>
      </c>
    </row>
    <row r="16" spans="2:15" ht="14.25" customHeight="1" x14ac:dyDescent="0.3">
      <c r="B16" s="17">
        <v>45663</v>
      </c>
      <c r="C16" s="36">
        <v>36711.879999999997</v>
      </c>
      <c r="D16" s="19" t="s">
        <v>17</v>
      </c>
      <c r="E16" s="20">
        <v>49077.25</v>
      </c>
      <c r="F16" s="21">
        <v>1572</v>
      </c>
      <c r="G16" s="22">
        <f t="shared" si="0"/>
        <v>12365.370000000003</v>
      </c>
      <c r="H16" s="4"/>
      <c r="I16" s="38">
        <v>45699</v>
      </c>
      <c r="J16" s="39">
        <v>26331</v>
      </c>
      <c r="K16" s="40" t="s">
        <v>18</v>
      </c>
      <c r="L16" s="2"/>
      <c r="M16" s="34" t="s">
        <v>19</v>
      </c>
      <c r="N16" s="35"/>
      <c r="O16" s="2"/>
    </row>
    <row r="17" spans="2:15" ht="14.25" customHeight="1" x14ac:dyDescent="0.3">
      <c r="B17" s="17">
        <v>45670</v>
      </c>
      <c r="C17" s="36">
        <v>40792.400000000001</v>
      </c>
      <c r="D17" s="19" t="s">
        <v>20</v>
      </c>
      <c r="E17" s="20">
        <v>53303.38</v>
      </c>
      <c r="F17" s="21">
        <v>1716</v>
      </c>
      <c r="G17" s="22">
        <f t="shared" si="0"/>
        <v>12510.979999999996</v>
      </c>
      <c r="H17" s="4"/>
      <c r="I17" s="38">
        <v>45727</v>
      </c>
      <c r="J17" s="39">
        <v>26331</v>
      </c>
      <c r="K17" s="40" t="s">
        <v>21</v>
      </c>
      <c r="L17" s="2"/>
      <c r="M17" s="34" t="s">
        <v>22</v>
      </c>
      <c r="N17" s="35"/>
      <c r="O17" s="2"/>
    </row>
    <row r="18" spans="2:15" ht="14.25" customHeight="1" x14ac:dyDescent="0.3">
      <c r="B18" s="17">
        <v>45677</v>
      </c>
      <c r="C18" s="36">
        <v>53407.56</v>
      </c>
      <c r="D18" s="19" t="s">
        <v>23</v>
      </c>
      <c r="E18" s="20">
        <v>52724.7</v>
      </c>
      <c r="F18" s="21">
        <v>1755</v>
      </c>
      <c r="G18" s="22">
        <f t="shared" si="0"/>
        <v>-682.86000000000058</v>
      </c>
      <c r="H18" s="4"/>
      <c r="I18" s="38">
        <v>45758</v>
      </c>
      <c r="J18" s="39">
        <v>26331</v>
      </c>
      <c r="K18" s="40" t="s">
        <v>24</v>
      </c>
      <c r="L18" s="2"/>
      <c r="M18" s="35" t="s">
        <v>25</v>
      </c>
      <c r="N18" s="35"/>
      <c r="O18" s="2"/>
    </row>
    <row r="19" spans="2:15" ht="14.25" customHeight="1" x14ac:dyDescent="0.3">
      <c r="B19" s="17">
        <v>45684</v>
      </c>
      <c r="C19" s="36">
        <v>65202.51</v>
      </c>
      <c r="D19" s="19" t="s">
        <v>26</v>
      </c>
      <c r="E19" s="20">
        <v>55279.38</v>
      </c>
      <c r="F19" s="21">
        <v>1876</v>
      </c>
      <c r="G19" s="22">
        <f t="shared" si="0"/>
        <v>-9923.1300000000047</v>
      </c>
      <c r="H19" s="4"/>
      <c r="I19" s="38">
        <v>45788</v>
      </c>
      <c r="J19" s="39">
        <v>26331</v>
      </c>
      <c r="K19" s="40" t="s">
        <v>27</v>
      </c>
      <c r="L19" s="2"/>
      <c r="M19" s="34" t="s">
        <v>28</v>
      </c>
      <c r="N19" s="35"/>
      <c r="O19" s="2"/>
    </row>
    <row r="20" spans="2:15" ht="14.25" customHeight="1" x14ac:dyDescent="0.3">
      <c r="B20" s="17">
        <v>45691</v>
      </c>
      <c r="C20" s="36">
        <v>75313.56</v>
      </c>
      <c r="D20" s="19" t="s">
        <v>29</v>
      </c>
      <c r="E20" s="20">
        <v>58905.1</v>
      </c>
      <c r="F20" s="21">
        <v>1912</v>
      </c>
      <c r="G20" s="22">
        <f t="shared" si="0"/>
        <v>-16408.46</v>
      </c>
      <c r="H20" s="4"/>
      <c r="I20" s="38">
        <v>45819</v>
      </c>
      <c r="J20" s="39">
        <v>26331</v>
      </c>
      <c r="K20" s="40" t="s">
        <v>30</v>
      </c>
      <c r="L20" s="2"/>
      <c r="M20" s="34" t="s">
        <v>31</v>
      </c>
      <c r="N20" s="41"/>
      <c r="O20" s="2"/>
    </row>
    <row r="21" spans="2:15" ht="14.25" customHeight="1" x14ac:dyDescent="0.3">
      <c r="B21" s="17">
        <v>45698</v>
      </c>
      <c r="C21" s="36">
        <v>32661.62</v>
      </c>
      <c r="D21" s="19" t="s">
        <v>32</v>
      </c>
      <c r="E21" s="20">
        <v>53753.89</v>
      </c>
      <c r="F21" s="21">
        <v>1754</v>
      </c>
      <c r="G21" s="22">
        <f t="shared" si="0"/>
        <v>21092.27</v>
      </c>
      <c r="H21" s="4"/>
      <c r="I21" s="38">
        <v>45849</v>
      </c>
      <c r="J21" s="39">
        <v>26331</v>
      </c>
      <c r="K21" s="40" t="s">
        <v>33</v>
      </c>
      <c r="L21" s="2"/>
      <c r="M21" s="42"/>
      <c r="N21" s="43"/>
    </row>
    <row r="22" spans="2:15" ht="14.25" customHeight="1" x14ac:dyDescent="0.3">
      <c r="B22" s="17">
        <v>45705</v>
      </c>
      <c r="C22" s="36">
        <v>44709.41</v>
      </c>
      <c r="D22" s="19" t="s">
        <v>34</v>
      </c>
      <c r="E22" s="20">
        <v>54819.13</v>
      </c>
      <c r="F22" s="21">
        <v>1881</v>
      </c>
      <c r="G22" s="22">
        <f t="shared" si="0"/>
        <v>10109.719999999994</v>
      </c>
      <c r="H22" s="4"/>
      <c r="I22" s="38">
        <v>45880</v>
      </c>
      <c r="J22" s="39">
        <v>26331</v>
      </c>
      <c r="K22" s="40" t="s">
        <v>35</v>
      </c>
      <c r="L22" s="2"/>
      <c r="M22" s="34" t="s">
        <v>36</v>
      </c>
      <c r="N22" s="44">
        <f>SUM(N12:N20)</f>
        <v>0</v>
      </c>
    </row>
    <row r="23" spans="2:15" ht="14.25" customHeight="1" x14ac:dyDescent="0.3">
      <c r="B23" s="17">
        <v>45712</v>
      </c>
      <c r="C23" s="36">
        <v>42234.19</v>
      </c>
      <c r="D23" s="19" t="s">
        <v>37</v>
      </c>
      <c r="E23" s="20">
        <v>56553.08</v>
      </c>
      <c r="F23" s="21">
        <v>1899</v>
      </c>
      <c r="G23" s="22">
        <f t="shared" si="0"/>
        <v>14318.89</v>
      </c>
      <c r="H23" s="4"/>
      <c r="I23" s="38">
        <v>45911</v>
      </c>
      <c r="J23" s="39">
        <v>26331</v>
      </c>
      <c r="K23" s="40" t="s">
        <v>38</v>
      </c>
      <c r="L23" s="2"/>
      <c r="N23" s="43"/>
    </row>
    <row r="24" spans="2:15" ht="14.25" customHeight="1" x14ac:dyDescent="0.3">
      <c r="B24" s="17">
        <v>45720</v>
      </c>
      <c r="C24" s="36">
        <v>62809.67</v>
      </c>
      <c r="D24" s="19" t="s">
        <v>39</v>
      </c>
      <c r="E24" s="20">
        <v>85829.71</v>
      </c>
      <c r="F24" s="21">
        <v>2591</v>
      </c>
      <c r="G24" s="22">
        <f t="shared" si="0"/>
        <v>23020.040000000008</v>
      </c>
      <c r="H24" s="4"/>
      <c r="I24" s="38">
        <v>45941</v>
      </c>
      <c r="J24" s="39">
        <v>26331</v>
      </c>
      <c r="K24" s="40" t="s">
        <v>40</v>
      </c>
      <c r="L24" s="2"/>
    </row>
    <row r="25" spans="2:15" ht="14.25" customHeight="1" x14ac:dyDescent="0.3">
      <c r="B25" s="17">
        <v>45726</v>
      </c>
      <c r="C25" s="36">
        <v>32487.86</v>
      </c>
      <c r="D25" s="19" t="s">
        <v>41</v>
      </c>
      <c r="E25" s="20">
        <v>58748.4</v>
      </c>
      <c r="F25" s="21">
        <v>2091</v>
      </c>
      <c r="G25" s="22">
        <f t="shared" si="0"/>
        <v>26260.54</v>
      </c>
      <c r="H25" s="4"/>
      <c r="I25" s="45"/>
      <c r="J25" s="46">
        <f>SUM(J13:J24)</f>
        <v>315972.46999999997</v>
      </c>
      <c r="K25" s="47"/>
    </row>
    <row r="26" spans="2:15" ht="14.25" customHeight="1" x14ac:dyDescent="0.3">
      <c r="B26" s="17">
        <v>45733</v>
      </c>
      <c r="C26" s="36">
        <v>53236.55</v>
      </c>
      <c r="D26" s="19" t="s">
        <v>42</v>
      </c>
      <c r="E26" s="20">
        <v>53980.07</v>
      </c>
      <c r="F26" s="21">
        <v>1964</v>
      </c>
      <c r="G26" s="22">
        <f t="shared" si="0"/>
        <v>743.5199999999968</v>
      </c>
      <c r="H26" s="4"/>
    </row>
    <row r="27" spans="2:15" ht="14.25" customHeight="1" x14ac:dyDescent="0.3">
      <c r="B27" s="17">
        <v>45740</v>
      </c>
      <c r="C27" s="36">
        <v>48046.83</v>
      </c>
      <c r="D27" s="19" t="s">
        <v>43</v>
      </c>
      <c r="E27" s="20">
        <v>57570.61</v>
      </c>
      <c r="F27" s="21">
        <v>2067</v>
      </c>
      <c r="G27" s="22">
        <f t="shared" si="0"/>
        <v>9523.7799999999988</v>
      </c>
      <c r="H27" s="4"/>
    </row>
    <row r="28" spans="2:15" ht="14.25" customHeight="1" x14ac:dyDescent="0.3">
      <c r="B28" s="17">
        <v>45747</v>
      </c>
      <c r="C28" s="36">
        <v>49733.68</v>
      </c>
      <c r="D28" s="19" t="s">
        <v>44</v>
      </c>
      <c r="E28" s="20">
        <v>58244.57</v>
      </c>
      <c r="F28" s="21">
        <v>2105</v>
      </c>
      <c r="G28" s="22">
        <f t="shared" si="0"/>
        <v>8510.89</v>
      </c>
      <c r="H28" s="4"/>
      <c r="I28" s="1"/>
    </row>
    <row r="29" spans="2:15" ht="14.25" customHeight="1" x14ac:dyDescent="0.3">
      <c r="B29" s="17">
        <v>45754</v>
      </c>
      <c r="C29" s="36">
        <v>50748.1</v>
      </c>
      <c r="D29" s="19" t="s">
        <v>45</v>
      </c>
      <c r="E29" s="20">
        <v>53352.22</v>
      </c>
      <c r="F29" s="21">
        <v>1936</v>
      </c>
      <c r="G29" s="22">
        <f t="shared" si="0"/>
        <v>2604.1200000000026</v>
      </c>
      <c r="H29" s="4"/>
      <c r="I29" s="48"/>
      <c r="J29" s="49"/>
      <c r="K29" s="50"/>
    </row>
    <row r="30" spans="2:15" ht="14.25" customHeight="1" x14ac:dyDescent="0.3">
      <c r="B30" s="17">
        <v>45761</v>
      </c>
      <c r="C30" s="36">
        <v>49872.71</v>
      </c>
      <c r="D30" s="19" t="s">
        <v>46</v>
      </c>
      <c r="E30" s="20">
        <v>63863.79</v>
      </c>
      <c r="F30" s="21">
        <v>2188</v>
      </c>
      <c r="G30" s="22">
        <f t="shared" si="0"/>
        <v>13991.080000000002</v>
      </c>
      <c r="H30" s="4"/>
      <c r="I30" s="48"/>
      <c r="J30" s="49"/>
      <c r="K30" s="50"/>
    </row>
    <row r="31" spans="2:15" ht="14.25" customHeight="1" x14ac:dyDescent="0.3">
      <c r="B31" s="17">
        <v>45768</v>
      </c>
      <c r="C31" s="36">
        <v>46618.44</v>
      </c>
      <c r="D31" s="19" t="s">
        <v>47</v>
      </c>
      <c r="E31" s="20">
        <v>98760.07</v>
      </c>
      <c r="F31" s="21">
        <v>2857</v>
      </c>
      <c r="G31" s="22">
        <f t="shared" si="0"/>
        <v>52141.630000000005</v>
      </c>
      <c r="H31" s="4"/>
      <c r="I31" s="48"/>
      <c r="J31" s="49"/>
      <c r="K31" s="50"/>
    </row>
    <row r="32" spans="2:15" ht="14.25" customHeight="1" x14ac:dyDescent="0.3">
      <c r="B32" s="17">
        <v>45775</v>
      </c>
      <c r="C32" s="36">
        <v>80715.72</v>
      </c>
      <c r="D32" s="19" t="s">
        <v>48</v>
      </c>
      <c r="E32" s="20">
        <v>60984.84</v>
      </c>
      <c r="F32" s="21">
        <v>2283</v>
      </c>
      <c r="G32" s="22">
        <f t="shared" si="0"/>
        <v>-19730.880000000005</v>
      </c>
      <c r="H32" s="4"/>
      <c r="I32" s="51"/>
      <c r="J32" s="52"/>
      <c r="K32" s="53"/>
    </row>
    <row r="33" spans="2:10" ht="14.25" customHeight="1" x14ac:dyDescent="0.3">
      <c r="B33" s="17">
        <v>45782</v>
      </c>
      <c r="C33" s="36">
        <v>47912.47</v>
      </c>
      <c r="D33" s="19" t="s">
        <v>49</v>
      </c>
      <c r="E33" s="20">
        <v>63232.94</v>
      </c>
      <c r="F33" s="21">
        <v>2191</v>
      </c>
      <c r="G33" s="22">
        <f t="shared" si="0"/>
        <v>15320.470000000001</v>
      </c>
      <c r="H33" s="4"/>
      <c r="J33" s="4"/>
    </row>
    <row r="34" spans="2:10" ht="14.25" customHeight="1" x14ac:dyDescent="0.3">
      <c r="B34" s="17">
        <v>45789</v>
      </c>
      <c r="C34" s="36">
        <v>44305.68</v>
      </c>
      <c r="D34" s="19" t="s">
        <v>50</v>
      </c>
      <c r="E34" s="20">
        <v>62398.720000000001</v>
      </c>
      <c r="F34" s="21">
        <v>2233</v>
      </c>
      <c r="G34" s="22">
        <f t="shared" si="0"/>
        <v>18093.04</v>
      </c>
      <c r="H34" s="4"/>
    </row>
    <row r="35" spans="2:10" ht="14.25" customHeight="1" x14ac:dyDescent="0.3">
      <c r="B35" s="17">
        <v>45796</v>
      </c>
      <c r="C35" s="36">
        <v>31732.97</v>
      </c>
      <c r="D35" s="19" t="s">
        <v>51</v>
      </c>
      <c r="E35" s="20">
        <v>63320.68</v>
      </c>
      <c r="F35" s="21">
        <v>2314</v>
      </c>
      <c r="G35" s="22">
        <f t="shared" si="0"/>
        <v>31587.71</v>
      </c>
      <c r="H35" s="4"/>
    </row>
    <row r="36" spans="2:10" ht="14.25" customHeight="1" x14ac:dyDescent="0.3">
      <c r="B36" s="17">
        <v>45803</v>
      </c>
      <c r="C36" s="36">
        <v>46048.71</v>
      </c>
      <c r="D36" s="19" t="s">
        <v>52</v>
      </c>
      <c r="E36" s="20">
        <v>64793.29</v>
      </c>
      <c r="F36" s="21">
        <v>2339</v>
      </c>
      <c r="G36" s="22">
        <f t="shared" si="0"/>
        <v>18744.580000000002</v>
      </c>
      <c r="H36" s="4"/>
    </row>
    <row r="37" spans="2:10" ht="14.25" customHeight="1" x14ac:dyDescent="0.3">
      <c r="B37" s="17">
        <v>45810</v>
      </c>
      <c r="C37" s="36">
        <v>43464.23</v>
      </c>
      <c r="D37" s="19" t="s">
        <v>53</v>
      </c>
      <c r="E37" s="20">
        <v>75906.28</v>
      </c>
      <c r="F37" s="21">
        <v>2532</v>
      </c>
      <c r="G37" s="22">
        <f t="shared" si="0"/>
        <v>32442.049999999996</v>
      </c>
      <c r="H37" s="4"/>
    </row>
    <row r="38" spans="2:10" ht="14.25" customHeight="1" x14ac:dyDescent="0.3">
      <c r="B38" s="17">
        <v>45817</v>
      </c>
      <c r="C38" s="36">
        <v>53444</v>
      </c>
      <c r="D38" s="19" t="s">
        <v>54</v>
      </c>
      <c r="E38" s="20">
        <v>87619.27</v>
      </c>
      <c r="F38" s="21">
        <v>2994</v>
      </c>
      <c r="G38" s="22">
        <f t="shared" si="0"/>
        <v>34175.270000000004</v>
      </c>
      <c r="H38" s="4"/>
    </row>
    <row r="39" spans="2:10" ht="14.25" customHeight="1" x14ac:dyDescent="0.3">
      <c r="B39" s="17">
        <v>45824</v>
      </c>
      <c r="C39" s="36">
        <v>102797.19</v>
      </c>
      <c r="D39" s="19" t="s">
        <v>55</v>
      </c>
      <c r="E39" s="20">
        <v>87747.45</v>
      </c>
      <c r="F39" s="21">
        <v>3116</v>
      </c>
      <c r="G39" s="22">
        <f t="shared" si="0"/>
        <v>-15049.740000000005</v>
      </c>
      <c r="H39" s="4"/>
    </row>
    <row r="40" spans="2:10" ht="14.25" customHeight="1" x14ac:dyDescent="0.3">
      <c r="B40" s="17">
        <v>45831</v>
      </c>
      <c r="C40" s="36">
        <v>42293</v>
      </c>
      <c r="D40" s="19" t="s">
        <v>56</v>
      </c>
      <c r="E40" s="20">
        <v>85719.73</v>
      </c>
      <c r="F40" s="21">
        <v>3154</v>
      </c>
      <c r="G40" s="22">
        <f t="shared" si="0"/>
        <v>43426.729999999996</v>
      </c>
      <c r="H40" s="4"/>
    </row>
    <row r="41" spans="2:10" ht="14.25" customHeight="1" x14ac:dyDescent="0.3">
      <c r="B41" s="17">
        <v>45838</v>
      </c>
      <c r="C41" s="36">
        <v>46658.26</v>
      </c>
      <c r="D41" s="19" t="s">
        <v>57</v>
      </c>
      <c r="E41" s="20">
        <v>101605.99</v>
      </c>
      <c r="F41" s="21">
        <v>3559</v>
      </c>
      <c r="G41" s="22">
        <f t="shared" si="0"/>
        <v>54947.73</v>
      </c>
      <c r="H41" s="4"/>
    </row>
    <row r="42" spans="2:10" ht="14.25" customHeight="1" x14ac:dyDescent="0.3">
      <c r="B42" s="17">
        <v>45845</v>
      </c>
      <c r="C42" s="36">
        <v>52351.54</v>
      </c>
      <c r="D42" s="19" t="s">
        <v>58</v>
      </c>
      <c r="E42" s="20">
        <v>116218.58</v>
      </c>
      <c r="F42" s="21">
        <v>3985</v>
      </c>
      <c r="G42" s="22">
        <f t="shared" si="0"/>
        <v>63867.040000000001</v>
      </c>
      <c r="H42" s="4"/>
    </row>
    <row r="43" spans="2:10" ht="14.25" customHeight="1" x14ac:dyDescent="0.3">
      <c r="B43" s="17">
        <v>45852</v>
      </c>
      <c r="C43" s="36">
        <v>68594.5</v>
      </c>
      <c r="D43" s="19" t="s">
        <v>59</v>
      </c>
      <c r="E43" s="20">
        <v>132391.60999999999</v>
      </c>
      <c r="F43" s="21">
        <v>4554</v>
      </c>
      <c r="G43" s="22">
        <f t="shared" si="0"/>
        <v>63797.109999999986</v>
      </c>
      <c r="H43" s="4"/>
    </row>
    <row r="44" spans="2:10" ht="14.25" customHeight="1" x14ac:dyDescent="0.3">
      <c r="B44" s="17">
        <v>45859</v>
      </c>
      <c r="C44" s="36">
        <v>74300.02</v>
      </c>
      <c r="D44" s="19" t="s">
        <v>60</v>
      </c>
      <c r="E44" s="20">
        <v>134846.76</v>
      </c>
      <c r="F44" s="21">
        <v>4607</v>
      </c>
      <c r="G44" s="22">
        <f t="shared" si="0"/>
        <v>60546.740000000005</v>
      </c>
      <c r="H44" s="4"/>
    </row>
    <row r="45" spans="2:10" ht="14.25" customHeight="1" x14ac:dyDescent="0.3">
      <c r="B45" s="17">
        <v>45866</v>
      </c>
      <c r="C45" s="36">
        <v>56468.24</v>
      </c>
      <c r="D45" s="19" t="s">
        <v>61</v>
      </c>
      <c r="E45" s="20">
        <v>151687.38</v>
      </c>
      <c r="F45" s="21">
        <v>5052</v>
      </c>
      <c r="G45" s="22">
        <f t="shared" si="0"/>
        <v>95219.140000000014</v>
      </c>
      <c r="H45" s="4"/>
    </row>
    <row r="46" spans="2:10" ht="14.25" customHeight="1" x14ac:dyDescent="0.3">
      <c r="B46" s="17">
        <v>45873</v>
      </c>
      <c r="C46" s="36">
        <v>74211.33</v>
      </c>
      <c r="D46" s="19" t="s">
        <v>62</v>
      </c>
      <c r="E46" s="20">
        <v>166477.85999999999</v>
      </c>
      <c r="F46" s="21">
        <v>5229</v>
      </c>
      <c r="G46" s="22">
        <f t="shared" si="0"/>
        <v>92266.529999999984</v>
      </c>
      <c r="H46" s="4"/>
    </row>
    <row r="47" spans="2:10" ht="14.25" customHeight="1" x14ac:dyDescent="0.3">
      <c r="B47" s="17">
        <v>45880</v>
      </c>
      <c r="C47" s="36">
        <v>68069.509999999995</v>
      </c>
      <c r="D47" s="19" t="s">
        <v>63</v>
      </c>
      <c r="E47" s="20">
        <v>180922.51</v>
      </c>
      <c r="F47" s="21">
        <v>5662</v>
      </c>
      <c r="G47" s="22">
        <f t="shared" si="0"/>
        <v>112853.00000000001</v>
      </c>
      <c r="H47" s="4"/>
    </row>
    <row r="48" spans="2:10" ht="14.25" customHeight="1" x14ac:dyDescent="0.3">
      <c r="B48" s="17">
        <v>45887</v>
      </c>
      <c r="C48" s="36">
        <v>78963.48</v>
      </c>
      <c r="D48" s="19" t="s">
        <v>64</v>
      </c>
      <c r="E48" s="20">
        <v>177331.98</v>
      </c>
      <c r="F48" s="21">
        <v>5696</v>
      </c>
      <c r="G48" s="22">
        <f t="shared" si="0"/>
        <v>98368.500000000015</v>
      </c>
      <c r="H48" s="4"/>
    </row>
    <row r="49" spans="1:26" ht="14.25" customHeight="1" x14ac:dyDescent="0.3">
      <c r="B49" s="17">
        <v>45894</v>
      </c>
      <c r="C49" s="36">
        <v>68987.19</v>
      </c>
      <c r="D49" s="19" t="s">
        <v>65</v>
      </c>
      <c r="E49" s="20">
        <v>149790.46</v>
      </c>
      <c r="F49" s="21">
        <v>5301</v>
      </c>
      <c r="G49" s="22">
        <f t="shared" si="0"/>
        <v>80803.26999999999</v>
      </c>
      <c r="H49" s="4"/>
    </row>
    <row r="50" spans="1:26" ht="14.25" customHeight="1" x14ac:dyDescent="0.3">
      <c r="B50" s="17">
        <v>45901</v>
      </c>
      <c r="C50" s="36">
        <v>92907.68</v>
      </c>
      <c r="D50" s="19" t="s">
        <v>66</v>
      </c>
      <c r="E50" s="20">
        <v>117285.82</v>
      </c>
      <c r="F50" s="21">
        <v>4293</v>
      </c>
      <c r="G50" s="22">
        <f t="shared" si="0"/>
        <v>24378.140000000014</v>
      </c>
      <c r="H50" s="4"/>
    </row>
    <row r="51" spans="1:26" ht="14.25" customHeight="1" x14ac:dyDescent="0.3">
      <c r="B51" s="17">
        <v>45908</v>
      </c>
      <c r="C51" s="36">
        <v>108819.17</v>
      </c>
      <c r="D51" s="19" t="s">
        <v>67</v>
      </c>
      <c r="E51" s="20">
        <v>98085.88</v>
      </c>
      <c r="F51" s="21">
        <v>3724</v>
      </c>
      <c r="G51" s="22">
        <f t="shared" si="0"/>
        <v>-10733.289999999994</v>
      </c>
      <c r="H51" s="4"/>
    </row>
    <row r="52" spans="1:26" ht="14.25" customHeight="1" x14ac:dyDescent="0.3">
      <c r="B52" s="17">
        <v>45915</v>
      </c>
      <c r="C52" s="54">
        <v>112803.31</v>
      </c>
      <c r="D52" s="19" t="s">
        <v>68</v>
      </c>
      <c r="E52" s="20">
        <v>86065.82</v>
      </c>
      <c r="F52" s="21">
        <v>3148</v>
      </c>
      <c r="G52" s="22">
        <f t="shared" si="0"/>
        <v>-26737.489999999991</v>
      </c>
      <c r="H52" s="4"/>
    </row>
    <row r="53" spans="1:26" ht="14.25" customHeight="1" x14ac:dyDescent="0.3">
      <c r="B53" s="17">
        <v>45922</v>
      </c>
      <c r="C53" s="36">
        <v>95857.43</v>
      </c>
      <c r="D53" s="19" t="s">
        <v>69</v>
      </c>
      <c r="E53" s="20">
        <v>73856.2</v>
      </c>
      <c r="F53" s="21">
        <v>2771</v>
      </c>
      <c r="G53" s="22">
        <f t="shared" si="0"/>
        <v>-22001.229999999996</v>
      </c>
      <c r="H53" s="4"/>
    </row>
    <row r="54" spans="1:26" ht="14.25" customHeight="1" x14ac:dyDescent="0.3">
      <c r="B54" s="17">
        <v>45929</v>
      </c>
      <c r="C54" s="36">
        <v>145089</v>
      </c>
      <c r="D54" s="19" t="s">
        <v>70</v>
      </c>
      <c r="E54" s="20">
        <v>69950.5</v>
      </c>
      <c r="F54" s="21">
        <v>2502</v>
      </c>
      <c r="G54" s="22">
        <f t="shared" si="0"/>
        <v>-75138.5</v>
      </c>
      <c r="H54" s="4"/>
    </row>
    <row r="55" spans="1:26" ht="14.25" customHeight="1" x14ac:dyDescent="0.3">
      <c r="B55" s="17">
        <v>45936</v>
      </c>
      <c r="C55" s="36">
        <v>155772.95000000001</v>
      </c>
      <c r="D55" s="19" t="s">
        <v>71</v>
      </c>
      <c r="E55" s="20">
        <v>64307.519999999997</v>
      </c>
      <c r="F55" s="21">
        <v>2301</v>
      </c>
      <c r="G55" s="22">
        <f t="shared" si="0"/>
        <v>-91465.430000000022</v>
      </c>
      <c r="H55" s="4"/>
    </row>
    <row r="56" spans="1:26" ht="14.25" customHeight="1" x14ac:dyDescent="0.3">
      <c r="B56" s="17">
        <v>45943</v>
      </c>
      <c r="C56" s="36">
        <v>162055.17000000001</v>
      </c>
      <c r="D56" s="19" t="s">
        <v>72</v>
      </c>
      <c r="E56" s="20">
        <v>60037.97</v>
      </c>
      <c r="F56" s="21">
        <v>2113</v>
      </c>
      <c r="G56" s="22">
        <f t="shared" si="0"/>
        <v>-102017.20000000001</v>
      </c>
      <c r="H56" s="4"/>
    </row>
    <row r="57" spans="1:26" ht="14.25" customHeight="1" x14ac:dyDescent="0.3">
      <c r="B57" s="17">
        <v>45950</v>
      </c>
      <c r="C57" s="36">
        <v>78539.72</v>
      </c>
      <c r="D57" s="19" t="s">
        <v>73</v>
      </c>
      <c r="E57" s="20">
        <v>57507.07</v>
      </c>
      <c r="F57" s="21">
        <v>2080</v>
      </c>
      <c r="G57" s="22">
        <f t="shared" si="0"/>
        <v>-21032.65</v>
      </c>
      <c r="H57" s="4"/>
    </row>
    <row r="58" spans="1:26" ht="14.25" customHeight="1" x14ac:dyDescent="0.3">
      <c r="B58" s="17">
        <v>45957</v>
      </c>
      <c r="C58" s="55">
        <v>133063.57999999999</v>
      </c>
      <c r="D58" s="19" t="s">
        <v>74</v>
      </c>
      <c r="E58" s="20">
        <v>62306.99</v>
      </c>
      <c r="F58" s="21">
        <v>2178</v>
      </c>
      <c r="G58" s="22">
        <f t="shared" si="0"/>
        <v>-70756.59</v>
      </c>
      <c r="H58" s="56">
        <v>53063.58</v>
      </c>
    </row>
    <row r="59" spans="1:26" ht="14.25" customHeight="1" x14ac:dyDescent="0.3">
      <c r="B59" s="17">
        <v>45964</v>
      </c>
      <c r="C59" s="36">
        <v>96389.9</v>
      </c>
      <c r="D59" s="19" t="s">
        <v>75</v>
      </c>
      <c r="E59" s="20">
        <v>58579.78</v>
      </c>
      <c r="F59" s="21">
        <v>2026</v>
      </c>
      <c r="G59" s="22">
        <f t="shared" si="0"/>
        <v>-37810.119999999995</v>
      </c>
      <c r="H59" s="4"/>
    </row>
    <row r="60" spans="1:26" ht="14.25" customHeight="1" x14ac:dyDescent="0.3">
      <c r="A60" s="57"/>
      <c r="B60" s="17">
        <v>45971</v>
      </c>
      <c r="C60" s="36">
        <v>50913.04</v>
      </c>
      <c r="D60" s="19" t="s">
        <v>76</v>
      </c>
      <c r="E60" s="20">
        <v>55559.06</v>
      </c>
      <c r="F60" s="21">
        <v>1904</v>
      </c>
      <c r="G60" s="22">
        <f t="shared" si="0"/>
        <v>4646.0199999999968</v>
      </c>
      <c r="H60" s="4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spans="1:26" ht="14.25" customHeight="1" x14ac:dyDescent="0.3">
      <c r="B61" s="17">
        <v>45978</v>
      </c>
      <c r="C61" s="36">
        <v>74731.490000000005</v>
      </c>
      <c r="D61" s="19" t="s">
        <v>77</v>
      </c>
      <c r="E61" s="20">
        <v>54180.33</v>
      </c>
      <c r="F61" s="21">
        <v>1979</v>
      </c>
      <c r="G61" s="22">
        <f t="shared" si="0"/>
        <v>-20551.160000000003</v>
      </c>
      <c r="H61" s="4"/>
    </row>
    <row r="62" spans="1:26" ht="14.25" customHeight="1" x14ac:dyDescent="0.3">
      <c r="B62" s="17">
        <v>45985</v>
      </c>
      <c r="C62" s="36">
        <v>45758.12</v>
      </c>
      <c r="D62" s="19" t="s">
        <v>78</v>
      </c>
      <c r="E62" s="20">
        <v>53124.4</v>
      </c>
      <c r="F62" s="21">
        <v>1970</v>
      </c>
      <c r="G62" s="22">
        <f t="shared" si="0"/>
        <v>7366.2799999999988</v>
      </c>
      <c r="H62" s="58">
        <v>20000</v>
      </c>
    </row>
    <row r="63" spans="1:26" ht="14.25" customHeight="1" x14ac:dyDescent="0.3">
      <c r="B63" s="17">
        <v>45992</v>
      </c>
      <c r="C63" s="36">
        <v>76630.94</v>
      </c>
      <c r="D63" s="19" t="s">
        <v>79</v>
      </c>
      <c r="E63" s="20">
        <v>61739.17</v>
      </c>
      <c r="F63" s="21">
        <v>2017</v>
      </c>
      <c r="G63" s="22">
        <f t="shared" si="0"/>
        <v>-14891.770000000004</v>
      </c>
      <c r="H63" s="4"/>
    </row>
    <row r="64" spans="1:26" ht="14.25" customHeight="1" x14ac:dyDescent="0.3">
      <c r="B64" s="17">
        <v>45999</v>
      </c>
      <c r="C64" s="36">
        <v>43275.37</v>
      </c>
      <c r="D64" s="19" t="s">
        <v>80</v>
      </c>
      <c r="E64" s="20">
        <v>61849.08</v>
      </c>
      <c r="F64" s="21">
        <v>2022</v>
      </c>
      <c r="G64" s="22">
        <f t="shared" si="0"/>
        <v>18573.71</v>
      </c>
      <c r="H64" s="4">
        <v>20000</v>
      </c>
    </row>
    <row r="65" spans="2:8" ht="14.25" customHeight="1" x14ac:dyDescent="0.3">
      <c r="B65" s="17">
        <v>46006</v>
      </c>
      <c r="C65" s="36">
        <v>45349.35</v>
      </c>
      <c r="D65" s="19" t="s">
        <v>81</v>
      </c>
      <c r="E65" s="20">
        <v>54380.05</v>
      </c>
      <c r="F65" s="21">
        <v>1895</v>
      </c>
      <c r="G65" s="22">
        <f t="shared" si="0"/>
        <v>9030.7000000000044</v>
      </c>
      <c r="H65" s="4">
        <v>20000</v>
      </c>
    </row>
    <row r="66" spans="2:8" ht="14.25" customHeight="1" x14ac:dyDescent="0.3">
      <c r="B66" s="59">
        <v>46013</v>
      </c>
      <c r="C66" s="86">
        <v>52144.68</v>
      </c>
      <c r="D66" s="60" t="s">
        <v>82</v>
      </c>
      <c r="E66" s="61">
        <v>56468.05</v>
      </c>
      <c r="F66" s="62">
        <v>1768</v>
      </c>
      <c r="G66" s="63">
        <f t="shared" si="0"/>
        <v>4323.3700000000026</v>
      </c>
      <c r="H66" s="4"/>
    </row>
    <row r="67" spans="2:8" ht="14.25" customHeight="1" x14ac:dyDescent="0.3">
      <c r="B67" s="64">
        <v>46020</v>
      </c>
      <c r="C67" s="87">
        <v>45230.89</v>
      </c>
      <c r="D67" s="65" t="s">
        <v>83</v>
      </c>
      <c r="E67" s="66">
        <v>56396.31</v>
      </c>
      <c r="F67" s="67">
        <v>1582</v>
      </c>
      <c r="G67" s="68">
        <f t="shared" si="0"/>
        <v>11165.419999999998</v>
      </c>
      <c r="H67" s="4">
        <v>20000</v>
      </c>
    </row>
    <row r="68" spans="2:8" ht="14.25" customHeight="1" x14ac:dyDescent="0.3">
      <c r="C68" s="69"/>
      <c r="D68" s="2"/>
      <c r="E68" s="70"/>
      <c r="F68" s="2"/>
      <c r="G68" s="70"/>
      <c r="H68" s="4"/>
    </row>
    <row r="69" spans="2:8" ht="14.25" customHeight="1" x14ac:dyDescent="0.3">
      <c r="C69" s="71">
        <f>SUM(C4:C67)</f>
        <v>3568977.3000000012</v>
      </c>
      <c r="D69" s="2"/>
      <c r="E69" s="72">
        <f t="shared" ref="E69:G69" si="1">SUM(E4:E67)</f>
        <v>4795983.4799999995</v>
      </c>
      <c r="F69" s="73">
        <f t="shared" si="1"/>
        <v>162776</v>
      </c>
      <c r="G69" s="72">
        <f t="shared" si="1"/>
        <v>1227006.18</v>
      </c>
      <c r="H69" s="4"/>
    </row>
    <row r="70" spans="2:8" ht="14.25" customHeight="1" x14ac:dyDescent="0.3">
      <c r="C70" s="2"/>
      <c r="E70" s="3"/>
      <c r="G70" s="3"/>
      <c r="H70" s="4"/>
    </row>
    <row r="71" spans="2:8" ht="14.25" customHeight="1" x14ac:dyDescent="0.3">
      <c r="C71" s="2"/>
      <c r="E71" s="3"/>
      <c r="G71" s="3"/>
      <c r="H71" s="4"/>
    </row>
    <row r="72" spans="2:8" ht="14.25" customHeight="1" x14ac:dyDescent="0.3">
      <c r="C72" s="2"/>
      <c r="E72" s="3"/>
      <c r="G72" s="3"/>
      <c r="H72" s="4"/>
    </row>
    <row r="73" spans="2:8" ht="14.25" customHeight="1" x14ac:dyDescent="0.3">
      <c r="C73" s="2"/>
      <c r="E73" s="3"/>
      <c r="G73" s="3"/>
      <c r="H73" s="4"/>
    </row>
    <row r="74" spans="2:8" ht="14.25" customHeight="1" x14ac:dyDescent="0.3">
      <c r="C74" s="2"/>
      <c r="E74" s="3"/>
      <c r="G74" s="3"/>
      <c r="H74" s="4"/>
    </row>
    <row r="75" spans="2:8" ht="14.25" customHeight="1" x14ac:dyDescent="0.3">
      <c r="C75" s="2"/>
      <c r="E75" s="3"/>
      <c r="G75" s="3"/>
      <c r="H75" s="4"/>
    </row>
    <row r="76" spans="2:8" ht="14.25" customHeight="1" x14ac:dyDescent="0.3">
      <c r="C76" s="2"/>
      <c r="E76" s="3"/>
      <c r="G76" s="3"/>
      <c r="H76" s="4"/>
    </row>
    <row r="77" spans="2:8" ht="14.25" customHeight="1" x14ac:dyDescent="0.3">
      <c r="C77" s="2"/>
      <c r="E77" s="3"/>
      <c r="G77" s="3"/>
      <c r="H77" s="4"/>
    </row>
    <row r="78" spans="2:8" ht="14.25" customHeight="1" x14ac:dyDescent="0.3">
      <c r="C78" s="2"/>
      <c r="E78" s="3"/>
      <c r="G78" s="3"/>
      <c r="H78" s="4"/>
    </row>
    <row r="79" spans="2:8" ht="14.25" customHeight="1" x14ac:dyDescent="0.3">
      <c r="C79" s="2"/>
      <c r="E79" s="3"/>
      <c r="G79" s="3"/>
      <c r="H79" s="4"/>
    </row>
    <row r="80" spans="2:8" ht="14.25" customHeight="1" x14ac:dyDescent="0.3">
      <c r="C80" s="2"/>
      <c r="E80" s="3"/>
      <c r="G80" s="3"/>
      <c r="H80" s="4"/>
    </row>
    <row r="81" spans="3:8" ht="14.25" customHeight="1" x14ac:dyDescent="0.3">
      <c r="C81" s="2"/>
      <c r="E81" s="3"/>
      <c r="G81" s="3"/>
      <c r="H81" s="4"/>
    </row>
    <row r="82" spans="3:8" ht="14.25" customHeight="1" x14ac:dyDescent="0.3">
      <c r="C82" s="2"/>
      <c r="E82" s="3"/>
      <c r="G82" s="3"/>
      <c r="H82" s="4"/>
    </row>
    <row r="83" spans="3:8" ht="14.25" customHeight="1" x14ac:dyDescent="0.3">
      <c r="C83" s="2"/>
      <c r="E83" s="3"/>
      <c r="G83" s="3"/>
      <c r="H83" s="4"/>
    </row>
    <row r="84" spans="3:8" ht="14.25" customHeight="1" x14ac:dyDescent="0.3">
      <c r="C84" s="2"/>
      <c r="E84" s="3"/>
      <c r="G84" s="3"/>
      <c r="H84" s="4"/>
    </row>
    <row r="85" spans="3:8" ht="14.25" customHeight="1" x14ac:dyDescent="0.3">
      <c r="C85" s="2"/>
      <c r="E85" s="3"/>
      <c r="G85" s="3"/>
      <c r="H85" s="4"/>
    </row>
    <row r="86" spans="3:8" ht="14.25" customHeight="1" x14ac:dyDescent="0.3">
      <c r="C86" s="2"/>
      <c r="E86" s="3"/>
      <c r="G86" s="3"/>
      <c r="H86" s="4"/>
    </row>
    <row r="87" spans="3:8" ht="14.25" customHeight="1" x14ac:dyDescent="0.3">
      <c r="C87" s="2"/>
      <c r="E87" s="3"/>
      <c r="G87" s="3"/>
      <c r="H87" s="4"/>
    </row>
    <row r="88" spans="3:8" ht="14.25" customHeight="1" x14ac:dyDescent="0.3">
      <c r="C88" s="2"/>
      <c r="E88" s="3"/>
      <c r="G88" s="3"/>
      <c r="H88" s="4"/>
    </row>
    <row r="89" spans="3:8" ht="14.25" customHeight="1" x14ac:dyDescent="0.3">
      <c r="C89" s="2"/>
      <c r="E89" s="3"/>
      <c r="G89" s="3"/>
      <c r="H89" s="4"/>
    </row>
    <row r="90" spans="3:8" ht="14.25" customHeight="1" x14ac:dyDescent="0.3">
      <c r="C90" s="2"/>
      <c r="E90" s="3"/>
      <c r="G90" s="3"/>
      <c r="H90" s="4"/>
    </row>
    <row r="91" spans="3:8" ht="14.25" customHeight="1" x14ac:dyDescent="0.3">
      <c r="C91" s="2"/>
      <c r="E91" s="3"/>
      <c r="G91" s="3"/>
      <c r="H91" s="4"/>
    </row>
    <row r="92" spans="3:8" ht="14.25" customHeight="1" x14ac:dyDescent="0.3">
      <c r="C92" s="2"/>
      <c r="E92" s="3"/>
      <c r="G92" s="3"/>
      <c r="H92" s="4"/>
    </row>
    <row r="93" spans="3:8" ht="14.25" customHeight="1" x14ac:dyDescent="0.3">
      <c r="C93" s="2"/>
      <c r="E93" s="3"/>
      <c r="G93" s="3"/>
      <c r="H93" s="4"/>
    </row>
    <row r="94" spans="3:8" ht="14.25" customHeight="1" x14ac:dyDescent="0.3">
      <c r="C94" s="2"/>
      <c r="E94" s="3"/>
      <c r="G94" s="3"/>
      <c r="H94" s="4"/>
    </row>
    <row r="95" spans="3:8" ht="14.25" customHeight="1" x14ac:dyDescent="0.3">
      <c r="C95" s="2"/>
      <c r="E95" s="3"/>
      <c r="G95" s="3"/>
      <c r="H95" s="4"/>
    </row>
    <row r="96" spans="3:8" ht="14.25" customHeight="1" x14ac:dyDescent="0.3">
      <c r="C96" s="2"/>
      <c r="E96" s="3"/>
      <c r="G96" s="3"/>
      <c r="H96" s="4"/>
    </row>
    <row r="97" spans="3:8" ht="14.25" customHeight="1" x14ac:dyDescent="0.3">
      <c r="C97" s="2"/>
      <c r="E97" s="3"/>
      <c r="G97" s="3"/>
      <c r="H97" s="4"/>
    </row>
    <row r="98" spans="3:8" ht="14.25" customHeight="1" x14ac:dyDescent="0.3">
      <c r="C98" s="2"/>
      <c r="E98" s="3"/>
      <c r="G98" s="3"/>
      <c r="H98" s="4"/>
    </row>
    <row r="99" spans="3:8" ht="14.25" customHeight="1" x14ac:dyDescent="0.3">
      <c r="C99" s="2"/>
      <c r="E99" s="3"/>
      <c r="G99" s="3"/>
      <c r="H99" s="4"/>
    </row>
    <row r="100" spans="3:8" ht="14.25" customHeight="1" x14ac:dyDescent="0.3">
      <c r="C100" s="2"/>
      <c r="E100" s="3"/>
      <c r="G100" s="3"/>
      <c r="H100" s="4"/>
    </row>
    <row r="101" spans="3:8" ht="14.25" customHeight="1" x14ac:dyDescent="0.3">
      <c r="C101" s="2"/>
      <c r="E101" s="3"/>
      <c r="G101" s="3"/>
      <c r="H101" s="4"/>
    </row>
    <row r="102" spans="3:8" ht="14.25" customHeight="1" x14ac:dyDescent="0.3">
      <c r="C102" s="2"/>
      <c r="E102" s="3"/>
      <c r="G102" s="3"/>
      <c r="H102" s="4"/>
    </row>
    <row r="103" spans="3:8" ht="14.25" customHeight="1" x14ac:dyDescent="0.3">
      <c r="C103" s="2"/>
      <c r="E103" s="3"/>
      <c r="G103" s="3"/>
      <c r="H103" s="4"/>
    </row>
    <row r="104" spans="3:8" ht="14.25" customHeight="1" x14ac:dyDescent="0.3">
      <c r="C104" s="2"/>
      <c r="E104" s="3"/>
      <c r="G104" s="3"/>
      <c r="H104" s="4"/>
    </row>
    <row r="105" spans="3:8" ht="14.25" customHeight="1" x14ac:dyDescent="0.3">
      <c r="C105" s="2"/>
      <c r="E105" s="3"/>
      <c r="G105" s="3"/>
      <c r="H105" s="4"/>
    </row>
    <row r="106" spans="3:8" ht="14.25" customHeight="1" x14ac:dyDescent="0.3">
      <c r="C106" s="2"/>
      <c r="E106" s="3"/>
      <c r="G106" s="3"/>
      <c r="H106" s="4"/>
    </row>
    <row r="107" spans="3:8" ht="14.25" customHeight="1" x14ac:dyDescent="0.3">
      <c r="C107" s="2"/>
      <c r="E107" s="3"/>
      <c r="G107" s="3"/>
      <c r="H107" s="4"/>
    </row>
    <row r="108" spans="3:8" ht="14.25" customHeight="1" x14ac:dyDescent="0.3">
      <c r="C108" s="2"/>
      <c r="E108" s="3"/>
      <c r="G108" s="3"/>
      <c r="H108" s="4"/>
    </row>
    <row r="109" spans="3:8" ht="14.25" customHeight="1" x14ac:dyDescent="0.3">
      <c r="C109" s="2"/>
      <c r="E109" s="3"/>
      <c r="G109" s="3"/>
      <c r="H109" s="4"/>
    </row>
    <row r="110" spans="3:8" ht="14.25" customHeight="1" x14ac:dyDescent="0.3">
      <c r="C110" s="2"/>
      <c r="E110" s="3"/>
      <c r="G110" s="3"/>
      <c r="H110" s="4"/>
    </row>
    <row r="111" spans="3:8" ht="14.25" customHeight="1" x14ac:dyDescent="0.3">
      <c r="C111" s="2"/>
      <c r="E111" s="3"/>
      <c r="G111" s="3"/>
      <c r="H111" s="4"/>
    </row>
    <row r="112" spans="3:8" ht="14.25" customHeight="1" x14ac:dyDescent="0.3">
      <c r="C112" s="2"/>
      <c r="E112" s="3"/>
      <c r="G112" s="3"/>
      <c r="H112" s="4"/>
    </row>
    <row r="113" spans="3:8" ht="14.25" customHeight="1" x14ac:dyDescent="0.3">
      <c r="C113" s="2"/>
      <c r="E113" s="3"/>
      <c r="G113" s="3"/>
      <c r="H113" s="4"/>
    </row>
    <row r="114" spans="3:8" ht="14.25" customHeight="1" x14ac:dyDescent="0.3">
      <c r="C114" s="2"/>
      <c r="E114" s="3"/>
      <c r="G114" s="3"/>
      <c r="H114" s="4"/>
    </row>
    <row r="115" spans="3:8" ht="14.25" customHeight="1" x14ac:dyDescent="0.3">
      <c r="C115" s="2"/>
      <c r="E115" s="3"/>
      <c r="G115" s="3"/>
      <c r="H115" s="4"/>
    </row>
    <row r="116" spans="3:8" ht="14.25" customHeight="1" x14ac:dyDescent="0.3">
      <c r="C116" s="2"/>
      <c r="E116" s="3"/>
      <c r="G116" s="3"/>
      <c r="H116" s="4"/>
    </row>
    <row r="117" spans="3:8" ht="14.25" customHeight="1" x14ac:dyDescent="0.3">
      <c r="C117" s="2"/>
      <c r="E117" s="3"/>
      <c r="G117" s="3"/>
      <c r="H117" s="4"/>
    </row>
    <row r="118" spans="3:8" ht="14.25" customHeight="1" x14ac:dyDescent="0.3">
      <c r="C118" s="2"/>
      <c r="E118" s="3"/>
      <c r="G118" s="3"/>
      <c r="H118" s="4"/>
    </row>
    <row r="119" spans="3:8" ht="14.25" customHeight="1" x14ac:dyDescent="0.3">
      <c r="C119" s="2"/>
      <c r="E119" s="3"/>
      <c r="G119" s="3"/>
      <c r="H119" s="4"/>
    </row>
    <row r="120" spans="3:8" ht="14.25" customHeight="1" x14ac:dyDescent="0.3">
      <c r="C120" s="2"/>
      <c r="E120" s="3"/>
      <c r="G120" s="3"/>
      <c r="H120" s="4"/>
    </row>
    <row r="121" spans="3:8" ht="14.25" customHeight="1" x14ac:dyDescent="0.3">
      <c r="C121" s="2"/>
      <c r="E121" s="3"/>
      <c r="G121" s="3"/>
      <c r="H121" s="4"/>
    </row>
    <row r="122" spans="3:8" ht="14.25" customHeight="1" x14ac:dyDescent="0.3">
      <c r="C122" s="2"/>
      <c r="E122" s="3"/>
      <c r="G122" s="3"/>
      <c r="H122" s="4"/>
    </row>
    <row r="123" spans="3:8" ht="14.25" customHeight="1" x14ac:dyDescent="0.3">
      <c r="C123" s="2"/>
      <c r="E123" s="3"/>
      <c r="G123" s="3"/>
      <c r="H123" s="4"/>
    </row>
    <row r="124" spans="3:8" ht="14.25" customHeight="1" x14ac:dyDescent="0.3">
      <c r="C124" s="2"/>
      <c r="E124" s="3"/>
      <c r="G124" s="3"/>
      <c r="H124" s="4"/>
    </row>
    <row r="125" spans="3:8" ht="14.25" customHeight="1" x14ac:dyDescent="0.3">
      <c r="C125" s="2"/>
      <c r="E125" s="3"/>
      <c r="G125" s="3"/>
      <c r="H125" s="4"/>
    </row>
    <row r="126" spans="3:8" ht="14.25" customHeight="1" x14ac:dyDescent="0.3">
      <c r="C126" s="2"/>
      <c r="E126" s="3"/>
      <c r="G126" s="3"/>
      <c r="H126" s="4"/>
    </row>
    <row r="127" spans="3:8" ht="14.25" customHeight="1" x14ac:dyDescent="0.3">
      <c r="C127" s="2"/>
      <c r="E127" s="3"/>
      <c r="G127" s="3"/>
      <c r="H127" s="4"/>
    </row>
    <row r="128" spans="3:8" ht="14.25" customHeight="1" x14ac:dyDescent="0.3">
      <c r="C128" s="2"/>
      <c r="E128" s="3"/>
      <c r="G128" s="3"/>
      <c r="H128" s="4"/>
    </row>
    <row r="129" spans="3:8" ht="14.25" customHeight="1" x14ac:dyDescent="0.3">
      <c r="C129" s="2"/>
      <c r="E129" s="3"/>
      <c r="G129" s="3"/>
      <c r="H129" s="4"/>
    </row>
    <row r="130" spans="3:8" ht="14.25" customHeight="1" x14ac:dyDescent="0.3">
      <c r="C130" s="2"/>
      <c r="E130" s="3"/>
      <c r="G130" s="3"/>
      <c r="H130" s="4"/>
    </row>
    <row r="131" spans="3:8" ht="14.25" customHeight="1" x14ac:dyDescent="0.3">
      <c r="C131" s="2"/>
      <c r="E131" s="3"/>
      <c r="G131" s="3"/>
      <c r="H131" s="4"/>
    </row>
    <row r="132" spans="3:8" ht="14.25" customHeight="1" x14ac:dyDescent="0.3">
      <c r="C132" s="2"/>
      <c r="E132" s="3"/>
      <c r="G132" s="3"/>
      <c r="H132" s="4"/>
    </row>
    <row r="133" spans="3:8" ht="14.25" customHeight="1" x14ac:dyDescent="0.3">
      <c r="C133" s="2"/>
      <c r="E133" s="3"/>
      <c r="G133" s="3"/>
      <c r="H133" s="4"/>
    </row>
    <row r="134" spans="3:8" ht="14.25" customHeight="1" x14ac:dyDescent="0.3">
      <c r="C134" s="2"/>
      <c r="E134" s="3"/>
      <c r="G134" s="3"/>
      <c r="H134" s="4"/>
    </row>
    <row r="135" spans="3:8" ht="14.25" customHeight="1" x14ac:dyDescent="0.3">
      <c r="C135" s="2"/>
      <c r="E135" s="3"/>
      <c r="G135" s="3"/>
      <c r="H135" s="4"/>
    </row>
    <row r="136" spans="3:8" ht="14.25" customHeight="1" x14ac:dyDescent="0.3">
      <c r="C136" s="2"/>
      <c r="E136" s="3"/>
      <c r="G136" s="3"/>
      <c r="H136" s="4"/>
    </row>
    <row r="137" spans="3:8" ht="14.25" customHeight="1" x14ac:dyDescent="0.3">
      <c r="C137" s="2"/>
      <c r="E137" s="3"/>
      <c r="G137" s="3"/>
      <c r="H137" s="4"/>
    </row>
    <row r="138" spans="3:8" ht="14.25" customHeight="1" x14ac:dyDescent="0.3">
      <c r="C138" s="2"/>
      <c r="E138" s="3"/>
      <c r="G138" s="3"/>
      <c r="H138" s="4"/>
    </row>
    <row r="139" spans="3:8" ht="14.25" customHeight="1" x14ac:dyDescent="0.3">
      <c r="C139" s="2"/>
      <c r="E139" s="3"/>
      <c r="G139" s="3"/>
      <c r="H139" s="4"/>
    </row>
    <row r="140" spans="3:8" ht="14.25" customHeight="1" x14ac:dyDescent="0.3">
      <c r="C140" s="2"/>
      <c r="E140" s="3"/>
      <c r="G140" s="3"/>
      <c r="H140" s="4"/>
    </row>
    <row r="141" spans="3:8" ht="14.25" customHeight="1" x14ac:dyDescent="0.3">
      <c r="C141" s="2"/>
      <c r="E141" s="3"/>
      <c r="G141" s="3"/>
      <c r="H141" s="4"/>
    </row>
    <row r="142" spans="3:8" ht="14.25" customHeight="1" x14ac:dyDescent="0.3">
      <c r="C142" s="2"/>
      <c r="E142" s="3"/>
      <c r="G142" s="3"/>
      <c r="H142" s="4"/>
    </row>
    <row r="143" spans="3:8" ht="14.25" customHeight="1" x14ac:dyDescent="0.3">
      <c r="C143" s="2"/>
      <c r="E143" s="3"/>
      <c r="G143" s="3"/>
      <c r="H143" s="4"/>
    </row>
    <row r="144" spans="3:8" ht="14.25" customHeight="1" x14ac:dyDescent="0.3">
      <c r="C144" s="2"/>
      <c r="E144" s="3"/>
      <c r="G144" s="3"/>
      <c r="H144" s="4"/>
    </row>
    <row r="145" spans="3:8" ht="14.25" customHeight="1" x14ac:dyDescent="0.3">
      <c r="C145" s="2"/>
      <c r="E145" s="3"/>
      <c r="G145" s="3"/>
      <c r="H145" s="4"/>
    </row>
    <row r="146" spans="3:8" ht="14.25" customHeight="1" x14ac:dyDescent="0.3">
      <c r="C146" s="2"/>
      <c r="E146" s="3"/>
      <c r="G146" s="3"/>
      <c r="H146" s="4"/>
    </row>
    <row r="147" spans="3:8" ht="14.25" customHeight="1" x14ac:dyDescent="0.3">
      <c r="C147" s="2"/>
      <c r="E147" s="3"/>
      <c r="G147" s="3"/>
      <c r="H147" s="4"/>
    </row>
    <row r="148" spans="3:8" ht="14.25" customHeight="1" x14ac:dyDescent="0.3">
      <c r="C148" s="2"/>
      <c r="E148" s="3"/>
      <c r="G148" s="3"/>
      <c r="H148" s="4"/>
    </row>
    <row r="149" spans="3:8" ht="14.25" customHeight="1" x14ac:dyDescent="0.3">
      <c r="C149" s="2"/>
      <c r="E149" s="3"/>
      <c r="G149" s="3"/>
      <c r="H149" s="4"/>
    </row>
    <row r="150" spans="3:8" ht="14.25" customHeight="1" x14ac:dyDescent="0.3">
      <c r="C150" s="2"/>
      <c r="E150" s="3"/>
      <c r="G150" s="3"/>
      <c r="H150" s="4"/>
    </row>
    <row r="151" spans="3:8" ht="14.25" customHeight="1" x14ac:dyDescent="0.3">
      <c r="C151" s="2"/>
      <c r="E151" s="3"/>
      <c r="G151" s="3"/>
      <c r="H151" s="4"/>
    </row>
    <row r="152" spans="3:8" ht="14.25" customHeight="1" x14ac:dyDescent="0.3">
      <c r="C152" s="2"/>
      <c r="E152" s="3"/>
      <c r="G152" s="3"/>
      <c r="H152" s="4"/>
    </row>
    <row r="153" spans="3:8" ht="14.25" customHeight="1" x14ac:dyDescent="0.3">
      <c r="C153" s="2"/>
      <c r="E153" s="3"/>
      <c r="G153" s="3"/>
      <c r="H153" s="4"/>
    </row>
    <row r="154" spans="3:8" ht="14.25" customHeight="1" x14ac:dyDescent="0.3">
      <c r="C154" s="2"/>
      <c r="E154" s="3"/>
      <c r="G154" s="3"/>
      <c r="H154" s="4"/>
    </row>
    <row r="155" spans="3:8" ht="14.25" customHeight="1" x14ac:dyDescent="0.3">
      <c r="C155" s="2"/>
      <c r="E155" s="3"/>
      <c r="G155" s="3"/>
      <c r="H155" s="4"/>
    </row>
    <row r="156" spans="3:8" ht="14.25" customHeight="1" x14ac:dyDescent="0.3">
      <c r="C156" s="2"/>
      <c r="E156" s="3"/>
      <c r="G156" s="3"/>
      <c r="H156" s="4"/>
    </row>
    <row r="157" spans="3:8" ht="14.25" customHeight="1" x14ac:dyDescent="0.3">
      <c r="C157" s="2"/>
      <c r="E157" s="3"/>
      <c r="G157" s="3"/>
      <c r="H157" s="4"/>
    </row>
    <row r="158" spans="3:8" ht="14.25" customHeight="1" x14ac:dyDescent="0.3">
      <c r="C158" s="2"/>
      <c r="E158" s="3"/>
      <c r="G158" s="3"/>
      <c r="H158" s="4"/>
    </row>
    <row r="159" spans="3:8" ht="14.25" customHeight="1" x14ac:dyDescent="0.3">
      <c r="C159" s="2"/>
      <c r="E159" s="3"/>
      <c r="G159" s="3"/>
      <c r="H159" s="4"/>
    </row>
    <row r="160" spans="3:8" ht="14.25" customHeight="1" x14ac:dyDescent="0.3">
      <c r="C160" s="2"/>
      <c r="E160" s="3"/>
      <c r="G160" s="3"/>
      <c r="H160" s="4"/>
    </row>
    <row r="161" spans="3:8" ht="14.25" customHeight="1" x14ac:dyDescent="0.3">
      <c r="C161" s="2"/>
      <c r="E161" s="3"/>
      <c r="G161" s="3"/>
      <c r="H161" s="4"/>
    </row>
    <row r="162" spans="3:8" ht="14.25" customHeight="1" x14ac:dyDescent="0.3">
      <c r="C162" s="2"/>
      <c r="E162" s="3"/>
      <c r="G162" s="3"/>
      <c r="H162" s="4"/>
    </row>
    <row r="163" spans="3:8" ht="14.25" customHeight="1" x14ac:dyDescent="0.3">
      <c r="C163" s="2"/>
      <c r="E163" s="3"/>
      <c r="G163" s="3"/>
      <c r="H163" s="4"/>
    </row>
    <row r="164" spans="3:8" ht="14.25" customHeight="1" x14ac:dyDescent="0.3">
      <c r="C164" s="2"/>
      <c r="E164" s="3"/>
      <c r="G164" s="3"/>
      <c r="H164" s="4"/>
    </row>
    <row r="165" spans="3:8" ht="14.25" customHeight="1" x14ac:dyDescent="0.3">
      <c r="C165" s="2"/>
      <c r="E165" s="3"/>
      <c r="G165" s="3"/>
      <c r="H165" s="4"/>
    </row>
    <row r="166" spans="3:8" ht="14.25" customHeight="1" x14ac:dyDescent="0.3">
      <c r="C166" s="2"/>
      <c r="E166" s="3"/>
      <c r="G166" s="3"/>
      <c r="H166" s="4"/>
    </row>
    <row r="167" spans="3:8" ht="14.25" customHeight="1" x14ac:dyDescent="0.3">
      <c r="C167" s="2"/>
      <c r="E167" s="3"/>
      <c r="G167" s="3"/>
      <c r="H167" s="4"/>
    </row>
    <row r="168" spans="3:8" ht="14.25" customHeight="1" x14ac:dyDescent="0.3">
      <c r="C168" s="2"/>
      <c r="E168" s="3"/>
      <c r="G168" s="3"/>
      <c r="H168" s="4"/>
    </row>
    <row r="169" spans="3:8" ht="14.25" customHeight="1" x14ac:dyDescent="0.3">
      <c r="C169" s="2"/>
      <c r="E169" s="3"/>
      <c r="G169" s="3"/>
      <c r="H169" s="4"/>
    </row>
    <row r="170" spans="3:8" ht="14.25" customHeight="1" x14ac:dyDescent="0.3">
      <c r="C170" s="2"/>
      <c r="E170" s="3"/>
      <c r="G170" s="3"/>
      <c r="H170" s="4"/>
    </row>
    <row r="171" spans="3:8" ht="14.25" customHeight="1" x14ac:dyDescent="0.3">
      <c r="C171" s="2"/>
      <c r="E171" s="3"/>
      <c r="G171" s="3"/>
      <c r="H171" s="4"/>
    </row>
    <row r="172" spans="3:8" ht="14.25" customHeight="1" x14ac:dyDescent="0.3">
      <c r="C172" s="2"/>
      <c r="E172" s="3"/>
      <c r="G172" s="3"/>
      <c r="H172" s="4"/>
    </row>
    <row r="173" spans="3:8" ht="14.25" customHeight="1" x14ac:dyDescent="0.3">
      <c r="C173" s="2"/>
      <c r="E173" s="3"/>
      <c r="G173" s="3"/>
      <c r="H173" s="4"/>
    </row>
    <row r="174" spans="3:8" ht="14.25" customHeight="1" x14ac:dyDescent="0.3">
      <c r="C174" s="2"/>
      <c r="E174" s="3"/>
      <c r="G174" s="3"/>
      <c r="H174" s="4"/>
    </row>
    <row r="175" spans="3:8" ht="14.25" customHeight="1" x14ac:dyDescent="0.3">
      <c r="C175" s="2"/>
      <c r="E175" s="3"/>
      <c r="G175" s="3"/>
      <c r="H175" s="4"/>
    </row>
    <row r="176" spans="3:8" ht="14.25" customHeight="1" x14ac:dyDescent="0.3">
      <c r="C176" s="2"/>
      <c r="E176" s="3"/>
      <c r="G176" s="3"/>
      <c r="H176" s="4"/>
    </row>
    <row r="177" spans="3:8" ht="14.25" customHeight="1" x14ac:dyDescent="0.3">
      <c r="C177" s="2"/>
      <c r="E177" s="3"/>
      <c r="G177" s="3"/>
      <c r="H177" s="4"/>
    </row>
    <row r="178" spans="3:8" ht="14.25" customHeight="1" x14ac:dyDescent="0.3">
      <c r="C178" s="2"/>
      <c r="E178" s="3"/>
      <c r="G178" s="3"/>
      <c r="H178" s="4"/>
    </row>
    <row r="179" spans="3:8" ht="14.25" customHeight="1" x14ac:dyDescent="0.3">
      <c r="C179" s="2"/>
      <c r="E179" s="3"/>
      <c r="G179" s="3"/>
      <c r="H179" s="4"/>
    </row>
    <row r="180" spans="3:8" ht="14.25" customHeight="1" x14ac:dyDescent="0.3">
      <c r="C180" s="2"/>
      <c r="E180" s="3"/>
      <c r="G180" s="3"/>
      <c r="H180" s="4"/>
    </row>
    <row r="181" spans="3:8" ht="14.25" customHeight="1" x14ac:dyDescent="0.3">
      <c r="C181" s="2"/>
      <c r="E181" s="3"/>
      <c r="G181" s="3"/>
      <c r="H181" s="4"/>
    </row>
    <row r="182" spans="3:8" ht="14.25" customHeight="1" x14ac:dyDescent="0.3">
      <c r="C182" s="2"/>
      <c r="E182" s="3"/>
      <c r="G182" s="3"/>
      <c r="H182" s="4"/>
    </row>
    <row r="183" spans="3:8" ht="14.25" customHeight="1" x14ac:dyDescent="0.3">
      <c r="C183" s="2"/>
      <c r="E183" s="3"/>
      <c r="G183" s="3"/>
      <c r="H183" s="4"/>
    </row>
    <row r="184" spans="3:8" ht="14.25" customHeight="1" x14ac:dyDescent="0.3">
      <c r="C184" s="2"/>
      <c r="E184" s="3"/>
      <c r="G184" s="3"/>
      <c r="H184" s="4"/>
    </row>
    <row r="185" spans="3:8" ht="14.25" customHeight="1" x14ac:dyDescent="0.3">
      <c r="C185" s="2"/>
      <c r="E185" s="3"/>
      <c r="G185" s="3"/>
      <c r="H185" s="4"/>
    </row>
    <row r="186" spans="3:8" ht="14.25" customHeight="1" x14ac:dyDescent="0.3">
      <c r="C186" s="2"/>
      <c r="E186" s="3"/>
      <c r="G186" s="3"/>
      <c r="H186" s="4"/>
    </row>
    <row r="187" spans="3:8" ht="14.25" customHeight="1" x14ac:dyDescent="0.3">
      <c r="C187" s="2"/>
      <c r="E187" s="3"/>
      <c r="G187" s="3"/>
      <c r="H187" s="4"/>
    </row>
    <row r="188" spans="3:8" ht="14.25" customHeight="1" x14ac:dyDescent="0.3">
      <c r="C188" s="2"/>
      <c r="E188" s="3"/>
      <c r="G188" s="3"/>
      <c r="H188" s="4"/>
    </row>
    <row r="189" spans="3:8" ht="14.25" customHeight="1" x14ac:dyDescent="0.3">
      <c r="C189" s="2"/>
      <c r="E189" s="3"/>
      <c r="G189" s="3"/>
      <c r="H189" s="4"/>
    </row>
    <row r="190" spans="3:8" ht="14.25" customHeight="1" x14ac:dyDescent="0.3">
      <c r="C190" s="2"/>
      <c r="E190" s="3"/>
      <c r="G190" s="3"/>
      <c r="H190" s="4"/>
    </row>
    <row r="191" spans="3:8" ht="14.25" customHeight="1" x14ac:dyDescent="0.3">
      <c r="C191" s="2"/>
      <c r="E191" s="3"/>
      <c r="G191" s="3"/>
      <c r="H191" s="4"/>
    </row>
    <row r="192" spans="3:8" ht="14.25" customHeight="1" x14ac:dyDescent="0.3">
      <c r="C192" s="2"/>
      <c r="E192" s="3"/>
      <c r="G192" s="3"/>
      <c r="H192" s="4"/>
    </row>
    <row r="193" spans="3:8" ht="14.25" customHeight="1" x14ac:dyDescent="0.3">
      <c r="C193" s="2"/>
      <c r="E193" s="3"/>
      <c r="G193" s="3"/>
      <c r="H193" s="4"/>
    </row>
    <row r="194" spans="3:8" ht="14.25" customHeight="1" x14ac:dyDescent="0.3">
      <c r="C194" s="2"/>
      <c r="E194" s="3"/>
      <c r="G194" s="3"/>
      <c r="H194" s="4"/>
    </row>
    <row r="195" spans="3:8" ht="14.25" customHeight="1" x14ac:dyDescent="0.3">
      <c r="C195" s="2"/>
      <c r="E195" s="3"/>
      <c r="G195" s="3"/>
      <c r="H195" s="4"/>
    </row>
    <row r="196" spans="3:8" ht="14.25" customHeight="1" x14ac:dyDescent="0.3">
      <c r="C196" s="2"/>
      <c r="E196" s="3"/>
      <c r="G196" s="3"/>
      <c r="H196" s="4"/>
    </row>
    <row r="197" spans="3:8" ht="14.25" customHeight="1" x14ac:dyDescent="0.3">
      <c r="C197" s="2"/>
      <c r="E197" s="3"/>
      <c r="G197" s="3"/>
      <c r="H197" s="4"/>
    </row>
    <row r="198" spans="3:8" ht="14.25" customHeight="1" x14ac:dyDescent="0.3">
      <c r="C198" s="2"/>
      <c r="E198" s="3"/>
      <c r="G198" s="3"/>
      <c r="H198" s="4"/>
    </row>
    <row r="199" spans="3:8" ht="14.25" customHeight="1" x14ac:dyDescent="0.3">
      <c r="C199" s="2"/>
      <c r="E199" s="3"/>
      <c r="G199" s="3"/>
      <c r="H199" s="4"/>
    </row>
    <row r="200" spans="3:8" ht="14.25" customHeight="1" x14ac:dyDescent="0.3">
      <c r="C200" s="2"/>
      <c r="E200" s="3"/>
      <c r="G200" s="3"/>
      <c r="H200" s="4"/>
    </row>
    <row r="201" spans="3:8" ht="14.25" customHeight="1" x14ac:dyDescent="0.3">
      <c r="C201" s="2"/>
      <c r="E201" s="3"/>
      <c r="G201" s="3"/>
      <c r="H201" s="4"/>
    </row>
    <row r="202" spans="3:8" ht="14.25" customHeight="1" x14ac:dyDescent="0.3">
      <c r="C202" s="2"/>
      <c r="E202" s="3"/>
      <c r="G202" s="3"/>
      <c r="H202" s="4"/>
    </row>
    <row r="203" spans="3:8" ht="14.25" customHeight="1" x14ac:dyDescent="0.3">
      <c r="C203" s="2"/>
      <c r="E203" s="3"/>
      <c r="G203" s="3"/>
      <c r="H203" s="4"/>
    </row>
    <row r="204" spans="3:8" ht="14.25" customHeight="1" x14ac:dyDescent="0.3">
      <c r="C204" s="2"/>
      <c r="E204" s="3"/>
      <c r="G204" s="3"/>
      <c r="H204" s="4"/>
    </row>
    <row r="205" spans="3:8" ht="14.25" customHeight="1" x14ac:dyDescent="0.3">
      <c r="C205" s="2"/>
      <c r="E205" s="3"/>
      <c r="G205" s="3"/>
      <c r="H205" s="4"/>
    </row>
    <row r="206" spans="3:8" ht="14.25" customHeight="1" x14ac:dyDescent="0.3">
      <c r="C206" s="2"/>
      <c r="E206" s="3"/>
      <c r="G206" s="3"/>
      <c r="H206" s="4"/>
    </row>
    <row r="207" spans="3:8" ht="14.25" customHeight="1" x14ac:dyDescent="0.3">
      <c r="C207" s="2"/>
      <c r="E207" s="3"/>
      <c r="G207" s="3"/>
      <c r="H207" s="4"/>
    </row>
    <row r="208" spans="3:8" ht="14.25" customHeight="1" x14ac:dyDescent="0.3">
      <c r="C208" s="2"/>
      <c r="E208" s="3"/>
      <c r="G208" s="3"/>
      <c r="H208" s="4"/>
    </row>
    <row r="209" spans="3:8" ht="14.25" customHeight="1" x14ac:dyDescent="0.3">
      <c r="C209" s="2"/>
      <c r="E209" s="3"/>
      <c r="G209" s="3"/>
      <c r="H209" s="4"/>
    </row>
    <row r="210" spans="3:8" ht="14.25" customHeight="1" x14ac:dyDescent="0.3">
      <c r="C210" s="2"/>
      <c r="E210" s="3"/>
      <c r="G210" s="3"/>
      <c r="H210" s="4"/>
    </row>
    <row r="211" spans="3:8" ht="14.25" customHeight="1" x14ac:dyDescent="0.3">
      <c r="C211" s="2"/>
      <c r="E211" s="3"/>
      <c r="G211" s="3"/>
      <c r="H211" s="4"/>
    </row>
    <row r="212" spans="3:8" ht="14.25" customHeight="1" x14ac:dyDescent="0.3">
      <c r="C212" s="2"/>
      <c r="E212" s="3"/>
      <c r="G212" s="3"/>
      <c r="H212" s="4"/>
    </row>
    <row r="213" spans="3:8" ht="14.25" customHeight="1" x14ac:dyDescent="0.3">
      <c r="C213" s="2"/>
      <c r="E213" s="3"/>
      <c r="G213" s="3"/>
      <c r="H213" s="4"/>
    </row>
    <row r="214" spans="3:8" ht="14.25" customHeight="1" x14ac:dyDescent="0.3">
      <c r="C214" s="2"/>
      <c r="E214" s="3"/>
      <c r="G214" s="3"/>
      <c r="H214" s="4"/>
    </row>
    <row r="215" spans="3:8" ht="14.25" customHeight="1" x14ac:dyDescent="0.3">
      <c r="C215" s="2"/>
      <c r="E215" s="3"/>
      <c r="G215" s="3"/>
      <c r="H215" s="4"/>
    </row>
    <row r="216" spans="3:8" ht="14.25" customHeight="1" x14ac:dyDescent="0.3">
      <c r="C216" s="2"/>
      <c r="E216" s="3"/>
      <c r="G216" s="3"/>
      <c r="H216" s="4"/>
    </row>
    <row r="217" spans="3:8" ht="14.25" customHeight="1" x14ac:dyDescent="0.3">
      <c r="C217" s="2"/>
      <c r="E217" s="3"/>
      <c r="G217" s="3"/>
      <c r="H217" s="4"/>
    </row>
    <row r="218" spans="3:8" ht="14.25" customHeight="1" x14ac:dyDescent="0.3">
      <c r="C218" s="2"/>
      <c r="E218" s="3"/>
      <c r="G218" s="3"/>
      <c r="H218" s="4"/>
    </row>
    <row r="219" spans="3:8" ht="14.25" customHeight="1" x14ac:dyDescent="0.3">
      <c r="C219" s="2"/>
      <c r="E219" s="3"/>
      <c r="G219" s="3"/>
      <c r="H219" s="4"/>
    </row>
    <row r="220" spans="3:8" ht="14.25" customHeight="1" x14ac:dyDescent="0.3">
      <c r="C220" s="2"/>
      <c r="E220" s="3"/>
      <c r="G220" s="3"/>
      <c r="H220" s="4"/>
    </row>
    <row r="221" spans="3:8" ht="14.25" customHeight="1" x14ac:dyDescent="0.3">
      <c r="C221" s="2"/>
      <c r="E221" s="3"/>
      <c r="G221" s="3"/>
      <c r="H221" s="4"/>
    </row>
    <row r="222" spans="3:8" ht="14.25" customHeight="1" x14ac:dyDescent="0.3">
      <c r="C222" s="2"/>
      <c r="E222" s="3"/>
      <c r="G222" s="3"/>
      <c r="H222" s="4"/>
    </row>
    <row r="223" spans="3:8" ht="14.25" customHeight="1" x14ac:dyDescent="0.3">
      <c r="C223" s="2"/>
      <c r="E223" s="3"/>
      <c r="G223" s="3"/>
      <c r="H223" s="4"/>
    </row>
    <row r="224" spans="3:8" ht="14.25" customHeight="1" x14ac:dyDescent="0.3">
      <c r="C224" s="2"/>
      <c r="E224" s="3"/>
      <c r="G224" s="3"/>
      <c r="H224" s="4"/>
    </row>
    <row r="225" spans="3:8" ht="14.25" customHeight="1" x14ac:dyDescent="0.3">
      <c r="C225" s="2"/>
      <c r="E225" s="3"/>
      <c r="G225" s="3"/>
      <c r="H225" s="4"/>
    </row>
    <row r="226" spans="3:8" ht="14.25" customHeight="1" x14ac:dyDescent="0.3">
      <c r="C226" s="2"/>
      <c r="E226" s="3"/>
      <c r="G226" s="3"/>
      <c r="H226" s="4"/>
    </row>
    <row r="227" spans="3:8" ht="14.25" customHeight="1" x14ac:dyDescent="0.3">
      <c r="C227" s="2"/>
      <c r="E227" s="3"/>
      <c r="G227" s="3"/>
      <c r="H227" s="4"/>
    </row>
    <row r="228" spans="3:8" ht="14.25" customHeight="1" x14ac:dyDescent="0.3">
      <c r="C228" s="2"/>
      <c r="E228" s="3"/>
      <c r="G228" s="3"/>
      <c r="H228" s="4"/>
    </row>
    <row r="229" spans="3:8" ht="14.25" customHeight="1" x14ac:dyDescent="0.3">
      <c r="C229" s="2"/>
      <c r="E229" s="3"/>
      <c r="G229" s="3"/>
      <c r="H229" s="4"/>
    </row>
    <row r="230" spans="3:8" ht="14.25" customHeight="1" x14ac:dyDescent="0.3">
      <c r="C230" s="2"/>
      <c r="E230" s="3"/>
      <c r="G230" s="3"/>
      <c r="H230" s="4"/>
    </row>
    <row r="231" spans="3:8" ht="14.25" customHeight="1" x14ac:dyDescent="0.3">
      <c r="C231" s="2"/>
      <c r="E231" s="3"/>
      <c r="G231" s="3"/>
      <c r="H231" s="4"/>
    </row>
    <row r="232" spans="3:8" ht="14.25" customHeight="1" x14ac:dyDescent="0.3">
      <c r="C232" s="2"/>
      <c r="E232" s="3"/>
      <c r="G232" s="3"/>
      <c r="H232" s="4"/>
    </row>
    <row r="233" spans="3:8" ht="14.25" customHeight="1" x14ac:dyDescent="0.3">
      <c r="C233" s="2"/>
      <c r="E233" s="3"/>
      <c r="G233" s="3"/>
      <c r="H233" s="4"/>
    </row>
    <row r="234" spans="3:8" ht="14.25" customHeight="1" x14ac:dyDescent="0.3">
      <c r="C234" s="2"/>
      <c r="E234" s="3"/>
      <c r="G234" s="3"/>
      <c r="H234" s="4"/>
    </row>
    <row r="235" spans="3:8" ht="14.25" customHeight="1" x14ac:dyDescent="0.3">
      <c r="C235" s="2"/>
      <c r="E235" s="3"/>
      <c r="G235" s="3"/>
      <c r="H235" s="4"/>
    </row>
    <row r="236" spans="3:8" ht="14.25" customHeight="1" x14ac:dyDescent="0.3">
      <c r="C236" s="2"/>
      <c r="E236" s="3"/>
      <c r="G236" s="3"/>
      <c r="H236" s="4"/>
    </row>
    <row r="237" spans="3:8" ht="14.25" customHeight="1" x14ac:dyDescent="0.3">
      <c r="C237" s="2"/>
      <c r="E237" s="3"/>
      <c r="G237" s="3"/>
      <c r="H237" s="4"/>
    </row>
    <row r="238" spans="3:8" ht="14.25" customHeight="1" x14ac:dyDescent="0.3">
      <c r="C238" s="2"/>
      <c r="E238" s="3"/>
      <c r="G238" s="3"/>
      <c r="H238" s="4"/>
    </row>
    <row r="239" spans="3:8" ht="14.25" customHeight="1" x14ac:dyDescent="0.3">
      <c r="C239" s="2"/>
      <c r="E239" s="3"/>
      <c r="G239" s="3"/>
      <c r="H239" s="4"/>
    </row>
    <row r="240" spans="3:8" ht="14.25" customHeight="1" x14ac:dyDescent="0.3">
      <c r="C240" s="2"/>
      <c r="E240" s="3"/>
      <c r="G240" s="3"/>
      <c r="H240" s="4"/>
    </row>
    <row r="241" spans="3:8" ht="14.25" customHeight="1" x14ac:dyDescent="0.3">
      <c r="C241" s="2"/>
      <c r="E241" s="3"/>
      <c r="G241" s="3"/>
      <c r="H241" s="4"/>
    </row>
    <row r="242" spans="3:8" ht="14.25" customHeight="1" x14ac:dyDescent="0.3">
      <c r="C242" s="2"/>
      <c r="E242" s="3"/>
      <c r="G242" s="3"/>
      <c r="H242" s="4"/>
    </row>
    <row r="243" spans="3:8" ht="14.25" customHeight="1" x14ac:dyDescent="0.3">
      <c r="C243" s="2"/>
      <c r="E243" s="3"/>
      <c r="G243" s="3"/>
      <c r="H243" s="4"/>
    </row>
    <row r="244" spans="3:8" ht="14.25" customHeight="1" x14ac:dyDescent="0.3">
      <c r="C244" s="2"/>
      <c r="E244" s="3"/>
      <c r="G244" s="3"/>
      <c r="H244" s="4"/>
    </row>
    <row r="245" spans="3:8" ht="14.25" customHeight="1" x14ac:dyDescent="0.3">
      <c r="C245" s="2"/>
      <c r="E245" s="3"/>
      <c r="G245" s="3"/>
      <c r="H245" s="4"/>
    </row>
    <row r="246" spans="3:8" ht="14.25" customHeight="1" x14ac:dyDescent="0.3">
      <c r="C246" s="2"/>
      <c r="E246" s="3"/>
      <c r="G246" s="3"/>
      <c r="H246" s="4"/>
    </row>
    <row r="247" spans="3:8" ht="14.25" customHeight="1" x14ac:dyDescent="0.3">
      <c r="C247" s="2"/>
      <c r="E247" s="3"/>
      <c r="G247" s="3"/>
      <c r="H247" s="4"/>
    </row>
    <row r="248" spans="3:8" ht="14.25" customHeight="1" x14ac:dyDescent="0.3">
      <c r="C248" s="2"/>
      <c r="E248" s="3"/>
      <c r="G248" s="3"/>
      <c r="H248" s="4"/>
    </row>
    <row r="249" spans="3:8" ht="14.25" customHeight="1" x14ac:dyDescent="0.3">
      <c r="C249" s="2"/>
      <c r="E249" s="3"/>
      <c r="G249" s="3"/>
      <c r="H249" s="4"/>
    </row>
    <row r="250" spans="3:8" ht="14.25" customHeight="1" x14ac:dyDescent="0.3">
      <c r="C250" s="2"/>
      <c r="E250" s="3"/>
      <c r="G250" s="3"/>
      <c r="H250" s="4"/>
    </row>
    <row r="251" spans="3:8" ht="14.25" customHeight="1" x14ac:dyDescent="0.3">
      <c r="C251" s="2"/>
      <c r="E251" s="3"/>
      <c r="G251" s="3"/>
      <c r="H251" s="4"/>
    </row>
    <row r="252" spans="3:8" ht="14.25" customHeight="1" x14ac:dyDescent="0.3">
      <c r="C252" s="2"/>
      <c r="E252" s="3"/>
      <c r="G252" s="3"/>
      <c r="H252" s="4"/>
    </row>
    <row r="253" spans="3:8" ht="14.25" customHeight="1" x14ac:dyDescent="0.3">
      <c r="C253" s="2"/>
      <c r="E253" s="3"/>
      <c r="G253" s="3"/>
      <c r="H253" s="4"/>
    </row>
    <row r="254" spans="3:8" ht="14.25" customHeight="1" x14ac:dyDescent="0.3">
      <c r="C254" s="2"/>
      <c r="E254" s="3"/>
      <c r="G254" s="3"/>
      <c r="H254" s="4"/>
    </row>
    <row r="255" spans="3:8" ht="14.25" customHeight="1" x14ac:dyDescent="0.3">
      <c r="C255" s="2"/>
      <c r="E255" s="3"/>
      <c r="G255" s="3"/>
      <c r="H255" s="4"/>
    </row>
    <row r="256" spans="3:8" ht="14.25" customHeight="1" x14ac:dyDescent="0.3">
      <c r="C256" s="2"/>
      <c r="E256" s="3"/>
      <c r="G256" s="3"/>
      <c r="H256" s="4"/>
    </row>
    <row r="257" spans="3:8" ht="14.25" customHeight="1" x14ac:dyDescent="0.3">
      <c r="C257" s="2"/>
      <c r="E257" s="3"/>
      <c r="G257" s="3"/>
      <c r="H257" s="4"/>
    </row>
    <row r="258" spans="3:8" ht="14.25" customHeight="1" x14ac:dyDescent="0.3">
      <c r="C258" s="2"/>
      <c r="E258" s="3"/>
      <c r="G258" s="3"/>
      <c r="H258" s="4"/>
    </row>
    <row r="259" spans="3:8" ht="14.25" customHeight="1" x14ac:dyDescent="0.3">
      <c r="C259" s="2"/>
      <c r="E259" s="3"/>
      <c r="G259" s="3"/>
      <c r="H259" s="4"/>
    </row>
    <row r="260" spans="3:8" ht="14.25" customHeight="1" x14ac:dyDescent="0.3">
      <c r="C260" s="2"/>
      <c r="E260" s="3"/>
      <c r="G260" s="3"/>
      <c r="H260" s="4"/>
    </row>
    <row r="261" spans="3:8" ht="14.25" customHeight="1" x14ac:dyDescent="0.3">
      <c r="C261" s="2"/>
      <c r="E261" s="3"/>
      <c r="G261" s="3"/>
      <c r="H261" s="4"/>
    </row>
    <row r="262" spans="3:8" ht="14.25" customHeight="1" x14ac:dyDescent="0.3">
      <c r="C262" s="2"/>
      <c r="E262" s="3"/>
      <c r="G262" s="3"/>
      <c r="H262" s="4"/>
    </row>
    <row r="263" spans="3:8" ht="14.25" customHeight="1" x14ac:dyDescent="0.3">
      <c r="C263" s="2"/>
      <c r="E263" s="3"/>
      <c r="G263" s="3"/>
      <c r="H263" s="4"/>
    </row>
    <row r="264" spans="3:8" ht="14.25" customHeight="1" x14ac:dyDescent="0.3">
      <c r="C264" s="2"/>
      <c r="E264" s="3"/>
      <c r="G264" s="3"/>
      <c r="H264" s="4"/>
    </row>
    <row r="265" spans="3:8" ht="14.25" customHeight="1" x14ac:dyDescent="0.3">
      <c r="C265" s="2"/>
      <c r="E265" s="3"/>
      <c r="G265" s="3"/>
      <c r="H265" s="4"/>
    </row>
    <row r="266" spans="3:8" ht="14.25" customHeight="1" x14ac:dyDescent="0.3">
      <c r="C266" s="2"/>
      <c r="E266" s="3"/>
      <c r="G266" s="3"/>
      <c r="H266" s="4"/>
    </row>
    <row r="267" spans="3:8" ht="14.25" customHeight="1" x14ac:dyDescent="0.3">
      <c r="C267" s="2"/>
      <c r="E267" s="3"/>
      <c r="G267" s="3"/>
      <c r="H267" s="4"/>
    </row>
    <row r="268" spans="3:8" ht="14.25" customHeight="1" x14ac:dyDescent="0.3">
      <c r="C268" s="2"/>
      <c r="E268" s="3"/>
      <c r="G268" s="3"/>
      <c r="H268" s="4"/>
    </row>
    <row r="269" spans="3:8" ht="14.25" customHeight="1" x14ac:dyDescent="0.3">
      <c r="C269" s="2"/>
      <c r="E269" s="3"/>
      <c r="G269" s="3"/>
      <c r="H269" s="4"/>
    </row>
    <row r="270" spans="3:8" ht="14.25" customHeight="1" x14ac:dyDescent="0.3">
      <c r="C270" s="2"/>
      <c r="E270" s="3"/>
      <c r="G270" s="3"/>
      <c r="H270" s="4"/>
    </row>
    <row r="271" spans="3:8" ht="14.25" customHeight="1" x14ac:dyDescent="0.3">
      <c r="C271" s="2"/>
      <c r="E271" s="3"/>
      <c r="G271" s="3"/>
      <c r="H271" s="4"/>
    </row>
    <row r="272" spans="3:8" ht="14.25" customHeight="1" x14ac:dyDescent="0.3">
      <c r="C272" s="2"/>
      <c r="E272" s="3"/>
      <c r="G272" s="3"/>
      <c r="H272" s="4"/>
    </row>
    <row r="273" spans="3:8" ht="14.25" customHeight="1" x14ac:dyDescent="0.3">
      <c r="C273" s="2"/>
      <c r="E273" s="3"/>
      <c r="G273" s="3"/>
      <c r="H273" s="4"/>
    </row>
    <row r="274" spans="3:8" ht="14.25" customHeight="1" x14ac:dyDescent="0.3">
      <c r="C274" s="2"/>
      <c r="E274" s="3"/>
      <c r="G274" s="3"/>
      <c r="H274" s="4"/>
    </row>
    <row r="275" spans="3:8" ht="14.25" customHeight="1" x14ac:dyDescent="0.3">
      <c r="C275" s="2"/>
      <c r="E275" s="3"/>
      <c r="G275" s="3"/>
      <c r="H275" s="4"/>
    </row>
    <row r="276" spans="3:8" ht="14.25" customHeight="1" x14ac:dyDescent="0.3">
      <c r="C276" s="2"/>
      <c r="E276" s="3"/>
      <c r="G276" s="3"/>
      <c r="H276" s="4"/>
    </row>
    <row r="277" spans="3:8" ht="14.25" customHeight="1" x14ac:dyDescent="0.3">
      <c r="C277" s="2"/>
      <c r="E277" s="3"/>
      <c r="G277" s="3"/>
      <c r="H277" s="4"/>
    </row>
    <row r="278" spans="3:8" ht="14.25" customHeight="1" x14ac:dyDescent="0.3">
      <c r="C278" s="2"/>
      <c r="E278" s="3"/>
      <c r="G278" s="3"/>
      <c r="H278" s="4"/>
    </row>
    <row r="279" spans="3:8" ht="14.25" customHeight="1" x14ac:dyDescent="0.3">
      <c r="C279" s="2"/>
      <c r="E279" s="3"/>
      <c r="G279" s="3"/>
      <c r="H279" s="4"/>
    </row>
    <row r="280" spans="3:8" ht="14.25" customHeight="1" x14ac:dyDescent="0.3">
      <c r="C280" s="2"/>
      <c r="E280" s="3"/>
      <c r="G280" s="3"/>
      <c r="H280" s="4"/>
    </row>
    <row r="281" spans="3:8" ht="14.25" customHeight="1" x14ac:dyDescent="0.3">
      <c r="C281" s="2"/>
      <c r="E281" s="3"/>
      <c r="G281" s="3"/>
      <c r="H281" s="4"/>
    </row>
    <row r="282" spans="3:8" ht="14.25" customHeight="1" x14ac:dyDescent="0.3">
      <c r="C282" s="2"/>
      <c r="E282" s="3"/>
      <c r="G282" s="3"/>
      <c r="H282" s="4"/>
    </row>
    <row r="283" spans="3:8" ht="14.25" customHeight="1" x14ac:dyDescent="0.3">
      <c r="C283" s="2"/>
      <c r="E283" s="3"/>
      <c r="G283" s="3"/>
      <c r="H283" s="4"/>
    </row>
    <row r="284" spans="3:8" ht="14.25" customHeight="1" x14ac:dyDescent="0.3">
      <c r="C284" s="2"/>
      <c r="E284" s="3"/>
      <c r="G284" s="3"/>
      <c r="H284" s="4"/>
    </row>
    <row r="285" spans="3:8" ht="14.25" customHeight="1" x14ac:dyDescent="0.3">
      <c r="C285" s="2"/>
      <c r="E285" s="3"/>
      <c r="G285" s="3"/>
      <c r="H285" s="4"/>
    </row>
    <row r="286" spans="3:8" ht="14.25" customHeight="1" x14ac:dyDescent="0.3">
      <c r="C286" s="2"/>
      <c r="E286" s="3"/>
      <c r="G286" s="3"/>
      <c r="H286" s="4"/>
    </row>
    <row r="287" spans="3:8" ht="14.25" customHeight="1" x14ac:dyDescent="0.3">
      <c r="C287" s="2"/>
      <c r="E287" s="3"/>
      <c r="G287" s="3"/>
      <c r="H287" s="4"/>
    </row>
    <row r="288" spans="3:8" ht="14.25" customHeight="1" x14ac:dyDescent="0.3">
      <c r="C288" s="2"/>
      <c r="E288" s="3"/>
      <c r="G288" s="3"/>
      <c r="H288" s="4"/>
    </row>
    <row r="289" spans="3:8" ht="14.25" customHeight="1" x14ac:dyDescent="0.3">
      <c r="C289" s="2"/>
      <c r="E289" s="3"/>
      <c r="G289" s="3"/>
      <c r="H289" s="4"/>
    </row>
    <row r="290" spans="3:8" ht="14.25" customHeight="1" x14ac:dyDescent="0.3">
      <c r="C290" s="2"/>
      <c r="E290" s="3"/>
      <c r="G290" s="3"/>
      <c r="H290" s="4"/>
    </row>
    <row r="291" spans="3:8" ht="14.25" customHeight="1" x14ac:dyDescent="0.3">
      <c r="C291" s="2"/>
      <c r="E291" s="3"/>
      <c r="G291" s="3"/>
      <c r="H291" s="4"/>
    </row>
    <row r="292" spans="3:8" ht="14.25" customHeight="1" x14ac:dyDescent="0.3">
      <c r="C292" s="2"/>
      <c r="E292" s="3"/>
      <c r="G292" s="3"/>
      <c r="H292" s="4"/>
    </row>
    <row r="293" spans="3:8" ht="14.25" customHeight="1" x14ac:dyDescent="0.3">
      <c r="C293" s="2"/>
      <c r="E293" s="3"/>
      <c r="G293" s="3"/>
      <c r="H293" s="4"/>
    </row>
    <row r="294" spans="3:8" ht="14.25" customHeight="1" x14ac:dyDescent="0.3">
      <c r="C294" s="2"/>
      <c r="E294" s="3"/>
      <c r="G294" s="3"/>
      <c r="H294" s="4"/>
    </row>
    <row r="295" spans="3:8" ht="14.25" customHeight="1" x14ac:dyDescent="0.3">
      <c r="C295" s="2"/>
      <c r="E295" s="3"/>
      <c r="G295" s="3"/>
      <c r="H295" s="4"/>
    </row>
    <row r="296" spans="3:8" ht="14.25" customHeight="1" x14ac:dyDescent="0.3">
      <c r="C296" s="2"/>
      <c r="E296" s="3"/>
      <c r="G296" s="3"/>
      <c r="H296" s="4"/>
    </row>
    <row r="297" spans="3:8" ht="14.25" customHeight="1" x14ac:dyDescent="0.3">
      <c r="C297" s="2"/>
      <c r="E297" s="3"/>
      <c r="G297" s="3"/>
      <c r="H297" s="4"/>
    </row>
    <row r="298" spans="3:8" ht="14.25" customHeight="1" x14ac:dyDescent="0.3">
      <c r="C298" s="2"/>
      <c r="E298" s="3"/>
      <c r="G298" s="3"/>
      <c r="H298" s="4"/>
    </row>
    <row r="299" spans="3:8" ht="14.25" customHeight="1" x14ac:dyDescent="0.3">
      <c r="C299" s="2"/>
      <c r="E299" s="3"/>
      <c r="G299" s="3"/>
      <c r="H299" s="4"/>
    </row>
    <row r="300" spans="3:8" ht="14.25" customHeight="1" x14ac:dyDescent="0.3">
      <c r="C300" s="2"/>
      <c r="E300" s="3"/>
      <c r="G300" s="3"/>
      <c r="H300" s="4"/>
    </row>
    <row r="301" spans="3:8" ht="14.25" customHeight="1" x14ac:dyDescent="0.3">
      <c r="C301" s="2"/>
      <c r="E301" s="3"/>
      <c r="G301" s="3"/>
      <c r="H301" s="4"/>
    </row>
    <row r="302" spans="3:8" ht="14.25" customHeight="1" x14ac:dyDescent="0.3">
      <c r="C302" s="2"/>
      <c r="E302" s="3"/>
      <c r="G302" s="3"/>
      <c r="H302" s="4"/>
    </row>
    <row r="303" spans="3:8" ht="14.25" customHeight="1" x14ac:dyDescent="0.3">
      <c r="C303" s="2"/>
      <c r="E303" s="3"/>
      <c r="G303" s="3"/>
      <c r="H303" s="4"/>
    </row>
    <row r="304" spans="3:8" ht="14.25" customHeight="1" x14ac:dyDescent="0.3">
      <c r="C304" s="2"/>
      <c r="E304" s="3"/>
      <c r="G304" s="3"/>
      <c r="H304" s="4"/>
    </row>
    <row r="305" spans="3:8" ht="14.25" customHeight="1" x14ac:dyDescent="0.3">
      <c r="C305" s="2"/>
      <c r="E305" s="3"/>
      <c r="G305" s="3"/>
      <c r="H305" s="4"/>
    </row>
    <row r="306" spans="3:8" ht="14.25" customHeight="1" x14ac:dyDescent="0.3">
      <c r="C306" s="2"/>
      <c r="E306" s="3"/>
      <c r="G306" s="3"/>
      <c r="H306" s="4"/>
    </row>
    <row r="307" spans="3:8" ht="14.25" customHeight="1" x14ac:dyDescent="0.3">
      <c r="C307" s="2"/>
      <c r="E307" s="3"/>
      <c r="G307" s="3"/>
      <c r="H307" s="4"/>
    </row>
    <row r="308" spans="3:8" ht="14.25" customHeight="1" x14ac:dyDescent="0.3">
      <c r="C308" s="2"/>
      <c r="E308" s="3"/>
      <c r="G308" s="3"/>
      <c r="H308" s="4"/>
    </row>
    <row r="309" spans="3:8" ht="14.25" customHeight="1" x14ac:dyDescent="0.3">
      <c r="C309" s="2"/>
      <c r="E309" s="3"/>
      <c r="G309" s="3"/>
      <c r="H309" s="4"/>
    </row>
    <row r="310" spans="3:8" ht="14.25" customHeight="1" x14ac:dyDescent="0.3">
      <c r="C310" s="2"/>
      <c r="E310" s="3"/>
      <c r="G310" s="3"/>
      <c r="H310" s="4"/>
    </row>
    <row r="311" spans="3:8" ht="14.25" customHeight="1" x14ac:dyDescent="0.3">
      <c r="C311" s="2"/>
      <c r="E311" s="3"/>
      <c r="G311" s="3"/>
      <c r="H311" s="4"/>
    </row>
    <row r="312" spans="3:8" ht="14.25" customHeight="1" x14ac:dyDescent="0.3">
      <c r="C312" s="2"/>
      <c r="E312" s="3"/>
      <c r="G312" s="3"/>
      <c r="H312" s="4"/>
    </row>
    <row r="313" spans="3:8" ht="14.25" customHeight="1" x14ac:dyDescent="0.3">
      <c r="C313" s="2"/>
      <c r="E313" s="3"/>
      <c r="G313" s="3"/>
      <c r="H313" s="4"/>
    </row>
    <row r="314" spans="3:8" ht="14.25" customHeight="1" x14ac:dyDescent="0.3">
      <c r="C314" s="2"/>
      <c r="E314" s="3"/>
      <c r="G314" s="3"/>
      <c r="H314" s="4"/>
    </row>
    <row r="315" spans="3:8" ht="14.25" customHeight="1" x14ac:dyDescent="0.3">
      <c r="C315" s="2"/>
      <c r="E315" s="3"/>
      <c r="G315" s="3"/>
      <c r="H315" s="4"/>
    </row>
    <row r="316" spans="3:8" ht="14.25" customHeight="1" x14ac:dyDescent="0.3">
      <c r="C316" s="2"/>
      <c r="E316" s="3"/>
      <c r="G316" s="3"/>
      <c r="H316" s="4"/>
    </row>
    <row r="317" spans="3:8" ht="14.25" customHeight="1" x14ac:dyDescent="0.3">
      <c r="C317" s="2"/>
      <c r="E317" s="3"/>
      <c r="G317" s="3"/>
      <c r="H317" s="4"/>
    </row>
    <row r="318" spans="3:8" ht="14.25" customHeight="1" x14ac:dyDescent="0.3">
      <c r="C318" s="2"/>
      <c r="E318" s="3"/>
      <c r="G318" s="3"/>
      <c r="H318" s="4"/>
    </row>
    <row r="319" spans="3:8" ht="14.25" customHeight="1" x14ac:dyDescent="0.3">
      <c r="C319" s="2"/>
      <c r="E319" s="3"/>
      <c r="G319" s="3"/>
      <c r="H319" s="4"/>
    </row>
    <row r="320" spans="3:8" ht="14.25" customHeight="1" x14ac:dyDescent="0.3">
      <c r="C320" s="2"/>
      <c r="E320" s="3"/>
      <c r="G320" s="3"/>
      <c r="H320" s="4"/>
    </row>
    <row r="321" spans="3:8" ht="14.25" customHeight="1" x14ac:dyDescent="0.3">
      <c r="C321" s="2"/>
      <c r="E321" s="3"/>
      <c r="G321" s="3"/>
      <c r="H321" s="4"/>
    </row>
    <row r="322" spans="3:8" ht="14.25" customHeight="1" x14ac:dyDescent="0.3">
      <c r="C322" s="2"/>
      <c r="E322" s="3"/>
      <c r="G322" s="3"/>
      <c r="H322" s="4"/>
    </row>
    <row r="323" spans="3:8" ht="14.25" customHeight="1" x14ac:dyDescent="0.3">
      <c r="C323" s="2"/>
      <c r="E323" s="3"/>
      <c r="G323" s="3"/>
      <c r="H323" s="4"/>
    </row>
    <row r="324" spans="3:8" ht="14.25" customHeight="1" x14ac:dyDescent="0.3">
      <c r="C324" s="2"/>
      <c r="E324" s="3"/>
      <c r="G324" s="3"/>
      <c r="H324" s="4"/>
    </row>
    <row r="325" spans="3:8" ht="14.25" customHeight="1" x14ac:dyDescent="0.3">
      <c r="C325" s="2"/>
      <c r="E325" s="3"/>
      <c r="G325" s="3"/>
      <c r="H325" s="4"/>
    </row>
    <row r="326" spans="3:8" ht="14.25" customHeight="1" x14ac:dyDescent="0.3">
      <c r="C326" s="2"/>
      <c r="E326" s="3"/>
      <c r="G326" s="3"/>
      <c r="H326" s="4"/>
    </row>
    <row r="327" spans="3:8" ht="14.25" customHeight="1" x14ac:dyDescent="0.3">
      <c r="C327" s="2"/>
      <c r="E327" s="3"/>
      <c r="G327" s="3"/>
      <c r="H327" s="4"/>
    </row>
    <row r="328" spans="3:8" ht="14.25" customHeight="1" x14ac:dyDescent="0.3">
      <c r="C328" s="2"/>
      <c r="E328" s="3"/>
      <c r="G328" s="3"/>
      <c r="H328" s="4"/>
    </row>
    <row r="329" spans="3:8" ht="14.25" customHeight="1" x14ac:dyDescent="0.3">
      <c r="C329" s="2"/>
      <c r="E329" s="3"/>
      <c r="G329" s="3"/>
      <c r="H329" s="4"/>
    </row>
    <row r="330" spans="3:8" ht="14.25" customHeight="1" x14ac:dyDescent="0.3">
      <c r="C330" s="2"/>
      <c r="E330" s="3"/>
      <c r="G330" s="3"/>
      <c r="H330" s="4"/>
    </row>
    <row r="331" spans="3:8" ht="14.25" customHeight="1" x14ac:dyDescent="0.3">
      <c r="C331" s="2"/>
      <c r="E331" s="3"/>
      <c r="G331" s="3"/>
      <c r="H331" s="4"/>
    </row>
    <row r="332" spans="3:8" ht="14.25" customHeight="1" x14ac:dyDescent="0.3">
      <c r="C332" s="2"/>
      <c r="E332" s="3"/>
      <c r="G332" s="3"/>
      <c r="H332" s="4"/>
    </row>
    <row r="333" spans="3:8" ht="14.25" customHeight="1" x14ac:dyDescent="0.3">
      <c r="C333" s="2"/>
      <c r="E333" s="3"/>
      <c r="G333" s="3"/>
      <c r="H333" s="4"/>
    </row>
    <row r="334" spans="3:8" ht="14.25" customHeight="1" x14ac:dyDescent="0.3">
      <c r="C334" s="2"/>
      <c r="E334" s="3"/>
      <c r="G334" s="3"/>
      <c r="H334" s="4"/>
    </row>
    <row r="335" spans="3:8" ht="14.25" customHeight="1" x14ac:dyDescent="0.3">
      <c r="C335" s="2"/>
      <c r="E335" s="3"/>
      <c r="G335" s="3"/>
      <c r="H335" s="4"/>
    </row>
    <row r="336" spans="3:8" ht="14.25" customHeight="1" x14ac:dyDescent="0.3">
      <c r="C336" s="2"/>
      <c r="E336" s="3"/>
      <c r="G336" s="3"/>
      <c r="H336" s="4"/>
    </row>
    <row r="337" spans="3:8" ht="14.25" customHeight="1" x14ac:dyDescent="0.3">
      <c r="C337" s="2"/>
      <c r="E337" s="3"/>
      <c r="G337" s="3"/>
      <c r="H337" s="4"/>
    </row>
    <row r="338" spans="3:8" ht="14.25" customHeight="1" x14ac:dyDescent="0.3">
      <c r="C338" s="2"/>
      <c r="E338" s="3"/>
      <c r="G338" s="3"/>
      <c r="H338" s="4"/>
    </row>
    <row r="339" spans="3:8" ht="14.25" customHeight="1" x14ac:dyDescent="0.3">
      <c r="C339" s="2"/>
      <c r="E339" s="3"/>
      <c r="G339" s="3"/>
      <c r="H339" s="4"/>
    </row>
    <row r="340" spans="3:8" ht="14.25" customHeight="1" x14ac:dyDescent="0.3">
      <c r="C340" s="2"/>
      <c r="E340" s="3"/>
      <c r="G340" s="3"/>
      <c r="H340" s="4"/>
    </row>
    <row r="341" spans="3:8" ht="14.25" customHeight="1" x14ac:dyDescent="0.3">
      <c r="C341" s="2"/>
      <c r="E341" s="3"/>
      <c r="G341" s="3"/>
      <c r="H341" s="4"/>
    </row>
    <row r="342" spans="3:8" ht="14.25" customHeight="1" x14ac:dyDescent="0.3">
      <c r="C342" s="2"/>
      <c r="E342" s="3"/>
      <c r="G342" s="3"/>
      <c r="H342" s="4"/>
    </row>
    <row r="343" spans="3:8" ht="14.25" customHeight="1" x14ac:dyDescent="0.3">
      <c r="C343" s="2"/>
      <c r="E343" s="3"/>
      <c r="G343" s="3"/>
      <c r="H343" s="4"/>
    </row>
    <row r="344" spans="3:8" ht="14.25" customHeight="1" x14ac:dyDescent="0.3">
      <c r="C344" s="2"/>
      <c r="E344" s="3"/>
      <c r="G344" s="3"/>
      <c r="H344" s="4"/>
    </row>
    <row r="345" spans="3:8" ht="14.25" customHeight="1" x14ac:dyDescent="0.3">
      <c r="C345" s="2"/>
      <c r="E345" s="3"/>
      <c r="G345" s="3"/>
      <c r="H345" s="4"/>
    </row>
    <row r="346" spans="3:8" ht="14.25" customHeight="1" x14ac:dyDescent="0.3">
      <c r="C346" s="2"/>
      <c r="E346" s="3"/>
      <c r="G346" s="3"/>
      <c r="H346" s="4"/>
    </row>
    <row r="347" spans="3:8" ht="14.25" customHeight="1" x14ac:dyDescent="0.3">
      <c r="C347" s="2"/>
      <c r="E347" s="3"/>
      <c r="G347" s="3"/>
      <c r="H347" s="4"/>
    </row>
    <row r="348" spans="3:8" ht="14.25" customHeight="1" x14ac:dyDescent="0.3">
      <c r="C348" s="2"/>
      <c r="E348" s="3"/>
      <c r="G348" s="3"/>
      <c r="H348" s="4"/>
    </row>
    <row r="349" spans="3:8" ht="14.25" customHeight="1" x14ac:dyDescent="0.3">
      <c r="C349" s="2"/>
      <c r="E349" s="3"/>
      <c r="G349" s="3"/>
      <c r="H349" s="4"/>
    </row>
    <row r="350" spans="3:8" ht="14.25" customHeight="1" x14ac:dyDescent="0.3">
      <c r="C350" s="2"/>
      <c r="E350" s="3"/>
      <c r="G350" s="3"/>
      <c r="H350" s="4"/>
    </row>
    <row r="351" spans="3:8" ht="14.25" customHeight="1" x14ac:dyDescent="0.3">
      <c r="C351" s="2"/>
      <c r="E351" s="3"/>
      <c r="G351" s="3"/>
      <c r="H351" s="4"/>
    </row>
    <row r="352" spans="3:8" ht="14.25" customHeight="1" x14ac:dyDescent="0.3">
      <c r="C352" s="2"/>
      <c r="E352" s="3"/>
      <c r="G352" s="3"/>
      <c r="H352" s="4"/>
    </row>
    <row r="353" spans="3:8" ht="14.25" customHeight="1" x14ac:dyDescent="0.3">
      <c r="C353" s="2"/>
      <c r="E353" s="3"/>
      <c r="G353" s="3"/>
      <c r="H353" s="4"/>
    </row>
    <row r="354" spans="3:8" ht="14.25" customHeight="1" x14ac:dyDescent="0.3">
      <c r="C354" s="2"/>
      <c r="E354" s="3"/>
      <c r="G354" s="3"/>
      <c r="H354" s="4"/>
    </row>
    <row r="355" spans="3:8" ht="14.25" customHeight="1" x14ac:dyDescent="0.3">
      <c r="C355" s="2"/>
      <c r="E355" s="3"/>
      <c r="G355" s="3"/>
      <c r="H355" s="4"/>
    </row>
    <row r="356" spans="3:8" ht="14.25" customHeight="1" x14ac:dyDescent="0.3">
      <c r="C356" s="2"/>
      <c r="E356" s="3"/>
      <c r="G356" s="3"/>
      <c r="H356" s="4"/>
    </row>
    <row r="357" spans="3:8" ht="14.25" customHeight="1" x14ac:dyDescent="0.3">
      <c r="C357" s="2"/>
      <c r="E357" s="3"/>
      <c r="G357" s="3"/>
      <c r="H357" s="4"/>
    </row>
    <row r="358" spans="3:8" ht="14.25" customHeight="1" x14ac:dyDescent="0.3">
      <c r="C358" s="2"/>
      <c r="E358" s="3"/>
      <c r="G358" s="3"/>
      <c r="H358" s="4"/>
    </row>
    <row r="359" spans="3:8" ht="14.25" customHeight="1" x14ac:dyDescent="0.3">
      <c r="C359" s="2"/>
      <c r="E359" s="3"/>
      <c r="G359" s="3"/>
      <c r="H359" s="4"/>
    </row>
    <row r="360" spans="3:8" ht="14.25" customHeight="1" x14ac:dyDescent="0.3">
      <c r="C360" s="2"/>
      <c r="E360" s="3"/>
      <c r="G360" s="3"/>
      <c r="H360" s="4"/>
    </row>
    <row r="361" spans="3:8" ht="14.25" customHeight="1" x14ac:dyDescent="0.3">
      <c r="C361" s="2"/>
      <c r="E361" s="3"/>
      <c r="G361" s="3"/>
      <c r="H361" s="4"/>
    </row>
    <row r="362" spans="3:8" ht="14.25" customHeight="1" x14ac:dyDescent="0.3">
      <c r="C362" s="2"/>
      <c r="E362" s="3"/>
      <c r="G362" s="3"/>
      <c r="H362" s="4"/>
    </row>
    <row r="363" spans="3:8" ht="14.25" customHeight="1" x14ac:dyDescent="0.3">
      <c r="C363" s="2"/>
      <c r="E363" s="3"/>
      <c r="G363" s="3"/>
      <c r="H363" s="4"/>
    </row>
    <row r="364" spans="3:8" ht="14.25" customHeight="1" x14ac:dyDescent="0.3">
      <c r="C364" s="2"/>
      <c r="E364" s="3"/>
      <c r="G364" s="3"/>
      <c r="H364" s="4"/>
    </row>
    <row r="365" spans="3:8" ht="14.25" customHeight="1" x14ac:dyDescent="0.3">
      <c r="C365" s="2"/>
      <c r="E365" s="3"/>
      <c r="G365" s="3"/>
      <c r="H365" s="4"/>
    </row>
    <row r="366" spans="3:8" ht="14.25" customHeight="1" x14ac:dyDescent="0.3">
      <c r="C366" s="2"/>
      <c r="E366" s="3"/>
      <c r="G366" s="3"/>
      <c r="H366" s="4"/>
    </row>
    <row r="367" spans="3:8" ht="14.25" customHeight="1" x14ac:dyDescent="0.3">
      <c r="C367" s="2"/>
      <c r="E367" s="3"/>
      <c r="G367" s="3"/>
      <c r="H367" s="4"/>
    </row>
    <row r="368" spans="3:8" ht="14.25" customHeight="1" x14ac:dyDescent="0.3">
      <c r="C368" s="2"/>
      <c r="E368" s="3"/>
      <c r="G368" s="3"/>
      <c r="H368" s="4"/>
    </row>
    <row r="369" spans="3:8" ht="14.25" customHeight="1" x14ac:dyDescent="0.3">
      <c r="C369" s="2"/>
      <c r="E369" s="3"/>
      <c r="G369" s="3"/>
      <c r="H369" s="4"/>
    </row>
    <row r="370" spans="3:8" ht="14.25" customHeight="1" x14ac:dyDescent="0.3">
      <c r="C370" s="2"/>
      <c r="E370" s="3"/>
      <c r="G370" s="3"/>
      <c r="H370" s="4"/>
    </row>
    <row r="371" spans="3:8" ht="14.25" customHeight="1" x14ac:dyDescent="0.3">
      <c r="C371" s="2"/>
      <c r="E371" s="3"/>
      <c r="G371" s="3"/>
      <c r="H371" s="4"/>
    </row>
    <row r="372" spans="3:8" ht="14.25" customHeight="1" x14ac:dyDescent="0.3">
      <c r="C372" s="2"/>
      <c r="E372" s="3"/>
      <c r="G372" s="3"/>
      <c r="H372" s="4"/>
    </row>
    <row r="373" spans="3:8" ht="14.25" customHeight="1" x14ac:dyDescent="0.3">
      <c r="C373" s="2"/>
      <c r="E373" s="3"/>
      <c r="G373" s="3"/>
      <c r="H373" s="4"/>
    </row>
    <row r="374" spans="3:8" ht="14.25" customHeight="1" x14ac:dyDescent="0.3">
      <c r="C374" s="2"/>
      <c r="E374" s="3"/>
      <c r="G374" s="3"/>
      <c r="H374" s="4"/>
    </row>
    <row r="375" spans="3:8" ht="14.25" customHeight="1" x14ac:dyDescent="0.3">
      <c r="C375" s="2"/>
      <c r="E375" s="3"/>
      <c r="G375" s="3"/>
      <c r="H375" s="4"/>
    </row>
    <row r="376" spans="3:8" ht="14.25" customHeight="1" x14ac:dyDescent="0.3">
      <c r="C376" s="2"/>
      <c r="E376" s="3"/>
      <c r="G376" s="3"/>
      <c r="H376" s="4"/>
    </row>
    <row r="377" spans="3:8" ht="14.25" customHeight="1" x14ac:dyDescent="0.3">
      <c r="C377" s="2"/>
      <c r="E377" s="3"/>
      <c r="G377" s="3"/>
      <c r="H377" s="4"/>
    </row>
    <row r="378" spans="3:8" ht="14.25" customHeight="1" x14ac:dyDescent="0.3">
      <c r="C378" s="2"/>
      <c r="E378" s="3"/>
      <c r="G378" s="3"/>
      <c r="H378" s="4"/>
    </row>
    <row r="379" spans="3:8" ht="14.25" customHeight="1" x14ac:dyDescent="0.3">
      <c r="C379" s="2"/>
      <c r="E379" s="3"/>
      <c r="G379" s="3"/>
      <c r="H379" s="4"/>
    </row>
    <row r="380" spans="3:8" ht="14.25" customHeight="1" x14ac:dyDescent="0.3">
      <c r="C380" s="2"/>
      <c r="E380" s="3"/>
      <c r="G380" s="3"/>
      <c r="H380" s="4"/>
    </row>
    <row r="381" spans="3:8" ht="14.25" customHeight="1" x14ac:dyDescent="0.3">
      <c r="C381" s="2"/>
      <c r="E381" s="3"/>
      <c r="G381" s="3"/>
      <c r="H381" s="4"/>
    </row>
    <row r="382" spans="3:8" ht="14.25" customHeight="1" x14ac:dyDescent="0.3">
      <c r="C382" s="2"/>
      <c r="E382" s="3"/>
      <c r="G382" s="3"/>
      <c r="H382" s="4"/>
    </row>
    <row r="383" spans="3:8" ht="14.25" customHeight="1" x14ac:dyDescent="0.3">
      <c r="C383" s="2"/>
      <c r="E383" s="3"/>
      <c r="G383" s="3"/>
      <c r="H383" s="4"/>
    </row>
    <row r="384" spans="3:8" ht="14.25" customHeight="1" x14ac:dyDescent="0.3">
      <c r="C384" s="2"/>
      <c r="E384" s="3"/>
      <c r="G384" s="3"/>
      <c r="H384" s="4"/>
    </row>
    <row r="385" spans="3:8" ht="14.25" customHeight="1" x14ac:dyDescent="0.3">
      <c r="C385" s="2"/>
      <c r="E385" s="3"/>
      <c r="G385" s="3"/>
      <c r="H385" s="4"/>
    </row>
    <row r="386" spans="3:8" ht="14.25" customHeight="1" x14ac:dyDescent="0.3">
      <c r="C386" s="2"/>
      <c r="E386" s="3"/>
      <c r="G386" s="3"/>
      <c r="H386" s="4"/>
    </row>
    <row r="387" spans="3:8" ht="14.25" customHeight="1" x14ac:dyDescent="0.3">
      <c r="C387" s="2"/>
      <c r="E387" s="3"/>
      <c r="G387" s="3"/>
      <c r="H387" s="4"/>
    </row>
    <row r="388" spans="3:8" ht="14.25" customHeight="1" x14ac:dyDescent="0.3">
      <c r="C388" s="2"/>
      <c r="E388" s="3"/>
      <c r="G388" s="3"/>
      <c r="H388" s="4"/>
    </row>
    <row r="389" spans="3:8" ht="14.25" customHeight="1" x14ac:dyDescent="0.3">
      <c r="C389" s="2"/>
      <c r="E389" s="3"/>
      <c r="G389" s="3"/>
      <c r="H389" s="4"/>
    </row>
    <row r="390" spans="3:8" ht="14.25" customHeight="1" x14ac:dyDescent="0.3">
      <c r="C390" s="2"/>
      <c r="E390" s="3"/>
      <c r="G390" s="3"/>
      <c r="H390" s="4"/>
    </row>
    <row r="391" spans="3:8" ht="14.25" customHeight="1" x14ac:dyDescent="0.3">
      <c r="C391" s="2"/>
      <c r="E391" s="3"/>
      <c r="G391" s="3"/>
      <c r="H391" s="4"/>
    </row>
    <row r="392" spans="3:8" ht="14.25" customHeight="1" x14ac:dyDescent="0.3">
      <c r="C392" s="2"/>
      <c r="E392" s="3"/>
      <c r="G392" s="3"/>
      <c r="H392" s="4"/>
    </row>
    <row r="393" spans="3:8" ht="14.25" customHeight="1" x14ac:dyDescent="0.3">
      <c r="C393" s="2"/>
      <c r="E393" s="3"/>
      <c r="G393" s="3"/>
      <c r="H393" s="4"/>
    </row>
    <row r="394" spans="3:8" ht="14.25" customHeight="1" x14ac:dyDescent="0.3">
      <c r="C394" s="2"/>
      <c r="E394" s="3"/>
      <c r="G394" s="3"/>
      <c r="H394" s="4"/>
    </row>
    <row r="395" spans="3:8" ht="14.25" customHeight="1" x14ac:dyDescent="0.3">
      <c r="C395" s="2"/>
      <c r="E395" s="3"/>
      <c r="G395" s="3"/>
      <c r="H395" s="4"/>
    </row>
    <row r="396" spans="3:8" ht="14.25" customHeight="1" x14ac:dyDescent="0.3">
      <c r="C396" s="2"/>
      <c r="E396" s="3"/>
      <c r="G396" s="3"/>
      <c r="H396" s="4"/>
    </row>
    <row r="397" spans="3:8" ht="14.25" customHeight="1" x14ac:dyDescent="0.3">
      <c r="C397" s="2"/>
      <c r="E397" s="3"/>
      <c r="G397" s="3"/>
      <c r="H397" s="4"/>
    </row>
    <row r="398" spans="3:8" ht="14.25" customHeight="1" x14ac:dyDescent="0.3">
      <c r="C398" s="2"/>
      <c r="E398" s="3"/>
      <c r="G398" s="3"/>
      <c r="H398" s="4"/>
    </row>
    <row r="399" spans="3:8" ht="14.25" customHeight="1" x14ac:dyDescent="0.3">
      <c r="C399" s="2"/>
      <c r="E399" s="3"/>
      <c r="G399" s="3"/>
      <c r="H399" s="4"/>
    </row>
    <row r="400" spans="3:8" ht="14.25" customHeight="1" x14ac:dyDescent="0.3">
      <c r="C400" s="2"/>
      <c r="E400" s="3"/>
      <c r="G400" s="3"/>
      <c r="H400" s="4"/>
    </row>
    <row r="401" spans="3:8" ht="14.25" customHeight="1" x14ac:dyDescent="0.3">
      <c r="C401" s="2"/>
      <c r="E401" s="3"/>
      <c r="G401" s="3"/>
      <c r="H401" s="4"/>
    </row>
    <row r="402" spans="3:8" ht="14.25" customHeight="1" x14ac:dyDescent="0.3">
      <c r="C402" s="2"/>
      <c r="E402" s="3"/>
      <c r="G402" s="3"/>
      <c r="H402" s="4"/>
    </row>
    <row r="403" spans="3:8" ht="14.25" customHeight="1" x14ac:dyDescent="0.3">
      <c r="C403" s="2"/>
      <c r="E403" s="3"/>
      <c r="G403" s="3"/>
      <c r="H403" s="4"/>
    </row>
    <row r="404" spans="3:8" ht="14.25" customHeight="1" x14ac:dyDescent="0.3">
      <c r="C404" s="2"/>
      <c r="E404" s="3"/>
      <c r="G404" s="3"/>
      <c r="H404" s="4"/>
    </row>
    <row r="405" spans="3:8" ht="14.25" customHeight="1" x14ac:dyDescent="0.3">
      <c r="C405" s="2"/>
      <c r="E405" s="3"/>
      <c r="G405" s="3"/>
      <c r="H405" s="4"/>
    </row>
    <row r="406" spans="3:8" ht="14.25" customHeight="1" x14ac:dyDescent="0.3">
      <c r="C406" s="2"/>
      <c r="E406" s="3"/>
      <c r="G406" s="3"/>
      <c r="H406" s="4"/>
    </row>
    <row r="407" spans="3:8" ht="14.25" customHeight="1" x14ac:dyDescent="0.3">
      <c r="C407" s="2"/>
      <c r="E407" s="3"/>
      <c r="G407" s="3"/>
      <c r="H407" s="4"/>
    </row>
    <row r="408" spans="3:8" ht="14.25" customHeight="1" x14ac:dyDescent="0.3">
      <c r="C408" s="2"/>
      <c r="E408" s="3"/>
      <c r="G408" s="3"/>
      <c r="H408" s="4"/>
    </row>
    <row r="409" spans="3:8" ht="14.25" customHeight="1" x14ac:dyDescent="0.3">
      <c r="C409" s="2"/>
      <c r="E409" s="3"/>
      <c r="G409" s="3"/>
      <c r="H409" s="4"/>
    </row>
    <row r="410" spans="3:8" ht="14.25" customHeight="1" x14ac:dyDescent="0.3">
      <c r="C410" s="2"/>
      <c r="E410" s="3"/>
      <c r="G410" s="3"/>
      <c r="H410" s="4"/>
    </row>
    <row r="411" spans="3:8" ht="14.25" customHeight="1" x14ac:dyDescent="0.3">
      <c r="C411" s="2"/>
      <c r="E411" s="3"/>
      <c r="G411" s="3"/>
      <c r="H411" s="4"/>
    </row>
    <row r="412" spans="3:8" ht="14.25" customHeight="1" x14ac:dyDescent="0.3">
      <c r="C412" s="2"/>
      <c r="E412" s="3"/>
      <c r="G412" s="3"/>
      <c r="H412" s="4"/>
    </row>
    <row r="413" spans="3:8" ht="14.25" customHeight="1" x14ac:dyDescent="0.3">
      <c r="C413" s="2"/>
      <c r="E413" s="3"/>
      <c r="G413" s="3"/>
      <c r="H413" s="4"/>
    </row>
    <row r="414" spans="3:8" ht="14.25" customHeight="1" x14ac:dyDescent="0.3">
      <c r="C414" s="2"/>
      <c r="E414" s="3"/>
      <c r="G414" s="3"/>
      <c r="H414" s="4"/>
    </row>
    <row r="415" spans="3:8" ht="14.25" customHeight="1" x14ac:dyDescent="0.3">
      <c r="C415" s="2"/>
      <c r="E415" s="3"/>
      <c r="G415" s="3"/>
      <c r="H415" s="4"/>
    </row>
    <row r="416" spans="3:8" ht="14.25" customHeight="1" x14ac:dyDescent="0.3">
      <c r="C416" s="2"/>
      <c r="E416" s="3"/>
      <c r="G416" s="3"/>
      <c r="H416" s="4"/>
    </row>
    <row r="417" spans="3:8" ht="14.25" customHeight="1" x14ac:dyDescent="0.3">
      <c r="C417" s="2"/>
      <c r="E417" s="3"/>
      <c r="G417" s="3"/>
      <c r="H417" s="4"/>
    </row>
    <row r="418" spans="3:8" ht="14.25" customHeight="1" x14ac:dyDescent="0.3">
      <c r="C418" s="2"/>
      <c r="E418" s="3"/>
      <c r="G418" s="3"/>
      <c r="H418" s="4"/>
    </row>
    <row r="419" spans="3:8" ht="14.25" customHeight="1" x14ac:dyDescent="0.3">
      <c r="C419" s="2"/>
      <c r="E419" s="3"/>
      <c r="G419" s="3"/>
      <c r="H419" s="4"/>
    </row>
    <row r="420" spans="3:8" ht="14.25" customHeight="1" x14ac:dyDescent="0.3">
      <c r="C420" s="2"/>
      <c r="E420" s="3"/>
      <c r="G420" s="3"/>
      <c r="H420" s="4"/>
    </row>
    <row r="421" spans="3:8" ht="14.25" customHeight="1" x14ac:dyDescent="0.3">
      <c r="C421" s="2"/>
      <c r="E421" s="3"/>
      <c r="G421" s="3"/>
      <c r="H421" s="4"/>
    </row>
    <row r="422" spans="3:8" ht="14.25" customHeight="1" x14ac:dyDescent="0.3">
      <c r="C422" s="2"/>
      <c r="E422" s="3"/>
      <c r="G422" s="3"/>
      <c r="H422" s="4"/>
    </row>
    <row r="423" spans="3:8" ht="14.25" customHeight="1" x14ac:dyDescent="0.3">
      <c r="C423" s="2"/>
      <c r="E423" s="3"/>
      <c r="G423" s="3"/>
      <c r="H423" s="4"/>
    </row>
    <row r="424" spans="3:8" ht="14.25" customHeight="1" x14ac:dyDescent="0.3">
      <c r="C424" s="2"/>
      <c r="E424" s="3"/>
      <c r="G424" s="3"/>
      <c r="H424" s="4"/>
    </row>
    <row r="425" spans="3:8" ht="14.25" customHeight="1" x14ac:dyDescent="0.3">
      <c r="C425" s="2"/>
      <c r="E425" s="3"/>
      <c r="G425" s="3"/>
      <c r="H425" s="4"/>
    </row>
    <row r="426" spans="3:8" ht="14.25" customHeight="1" x14ac:dyDescent="0.3">
      <c r="C426" s="2"/>
      <c r="E426" s="3"/>
      <c r="G426" s="3"/>
      <c r="H426" s="4"/>
    </row>
    <row r="427" spans="3:8" ht="14.25" customHeight="1" x14ac:dyDescent="0.3">
      <c r="C427" s="2"/>
      <c r="E427" s="3"/>
      <c r="G427" s="3"/>
      <c r="H427" s="4"/>
    </row>
    <row r="428" spans="3:8" ht="14.25" customHeight="1" x14ac:dyDescent="0.3">
      <c r="C428" s="2"/>
      <c r="E428" s="3"/>
      <c r="G428" s="3"/>
      <c r="H428" s="4"/>
    </row>
    <row r="429" spans="3:8" ht="14.25" customHeight="1" x14ac:dyDescent="0.3">
      <c r="C429" s="2"/>
      <c r="E429" s="3"/>
      <c r="G429" s="3"/>
      <c r="H429" s="4"/>
    </row>
    <row r="430" spans="3:8" ht="14.25" customHeight="1" x14ac:dyDescent="0.3">
      <c r="C430" s="2"/>
      <c r="E430" s="3"/>
      <c r="G430" s="3"/>
      <c r="H430" s="4"/>
    </row>
    <row r="431" spans="3:8" ht="14.25" customHeight="1" x14ac:dyDescent="0.3">
      <c r="C431" s="2"/>
      <c r="E431" s="3"/>
      <c r="G431" s="3"/>
      <c r="H431" s="4"/>
    </row>
    <row r="432" spans="3:8" ht="14.25" customHeight="1" x14ac:dyDescent="0.3">
      <c r="C432" s="2"/>
      <c r="E432" s="3"/>
      <c r="G432" s="3"/>
      <c r="H432" s="4"/>
    </row>
    <row r="433" spans="3:8" ht="14.25" customHeight="1" x14ac:dyDescent="0.3">
      <c r="C433" s="2"/>
      <c r="E433" s="3"/>
      <c r="G433" s="3"/>
      <c r="H433" s="4"/>
    </row>
    <row r="434" spans="3:8" ht="14.25" customHeight="1" x14ac:dyDescent="0.3">
      <c r="C434" s="2"/>
      <c r="E434" s="3"/>
      <c r="G434" s="3"/>
      <c r="H434" s="4"/>
    </row>
    <row r="435" spans="3:8" ht="14.25" customHeight="1" x14ac:dyDescent="0.3">
      <c r="C435" s="2"/>
      <c r="E435" s="3"/>
      <c r="G435" s="3"/>
      <c r="H435" s="4"/>
    </row>
    <row r="436" spans="3:8" ht="14.25" customHeight="1" x14ac:dyDescent="0.3">
      <c r="C436" s="2"/>
      <c r="E436" s="3"/>
      <c r="G436" s="3"/>
      <c r="H436" s="4"/>
    </row>
    <row r="437" spans="3:8" ht="14.25" customHeight="1" x14ac:dyDescent="0.3">
      <c r="C437" s="2"/>
      <c r="E437" s="3"/>
      <c r="G437" s="3"/>
      <c r="H437" s="4"/>
    </row>
    <row r="438" spans="3:8" ht="14.25" customHeight="1" x14ac:dyDescent="0.3">
      <c r="C438" s="2"/>
      <c r="E438" s="3"/>
      <c r="G438" s="3"/>
      <c r="H438" s="4"/>
    </row>
    <row r="439" spans="3:8" ht="14.25" customHeight="1" x14ac:dyDescent="0.3">
      <c r="C439" s="2"/>
      <c r="E439" s="3"/>
      <c r="G439" s="3"/>
      <c r="H439" s="4"/>
    </row>
    <row r="440" spans="3:8" ht="14.25" customHeight="1" x14ac:dyDescent="0.3">
      <c r="C440" s="2"/>
      <c r="E440" s="3"/>
      <c r="G440" s="3"/>
      <c r="H440" s="4"/>
    </row>
    <row r="441" spans="3:8" ht="14.25" customHeight="1" x14ac:dyDescent="0.3">
      <c r="C441" s="2"/>
      <c r="E441" s="3"/>
      <c r="G441" s="3"/>
      <c r="H441" s="4"/>
    </row>
    <row r="442" spans="3:8" ht="14.25" customHeight="1" x14ac:dyDescent="0.3">
      <c r="C442" s="2"/>
      <c r="E442" s="3"/>
      <c r="G442" s="3"/>
      <c r="H442" s="4"/>
    </row>
    <row r="443" spans="3:8" ht="14.25" customHeight="1" x14ac:dyDescent="0.3">
      <c r="C443" s="2"/>
      <c r="E443" s="3"/>
      <c r="G443" s="3"/>
      <c r="H443" s="4"/>
    </row>
    <row r="444" spans="3:8" ht="14.25" customHeight="1" x14ac:dyDescent="0.3">
      <c r="C444" s="2"/>
      <c r="E444" s="3"/>
      <c r="G444" s="3"/>
      <c r="H444" s="4"/>
    </row>
    <row r="445" spans="3:8" ht="14.25" customHeight="1" x14ac:dyDescent="0.3">
      <c r="C445" s="2"/>
      <c r="E445" s="3"/>
      <c r="G445" s="3"/>
      <c r="H445" s="4"/>
    </row>
    <row r="446" spans="3:8" ht="14.25" customHeight="1" x14ac:dyDescent="0.3">
      <c r="C446" s="2"/>
      <c r="E446" s="3"/>
      <c r="G446" s="3"/>
      <c r="H446" s="4"/>
    </row>
    <row r="447" spans="3:8" ht="14.25" customHeight="1" x14ac:dyDescent="0.3">
      <c r="C447" s="2"/>
      <c r="E447" s="3"/>
      <c r="G447" s="3"/>
      <c r="H447" s="4"/>
    </row>
    <row r="448" spans="3:8" ht="14.25" customHeight="1" x14ac:dyDescent="0.3">
      <c r="C448" s="2"/>
      <c r="E448" s="3"/>
      <c r="G448" s="3"/>
      <c r="H448" s="4"/>
    </row>
    <row r="449" spans="3:8" ht="14.25" customHeight="1" x14ac:dyDescent="0.3">
      <c r="C449" s="2"/>
      <c r="E449" s="3"/>
      <c r="G449" s="3"/>
      <c r="H449" s="4"/>
    </row>
    <row r="450" spans="3:8" ht="14.25" customHeight="1" x14ac:dyDescent="0.3">
      <c r="C450" s="2"/>
      <c r="E450" s="3"/>
      <c r="G450" s="3"/>
      <c r="H450" s="4"/>
    </row>
    <row r="451" spans="3:8" ht="14.25" customHeight="1" x14ac:dyDescent="0.3">
      <c r="C451" s="2"/>
      <c r="E451" s="3"/>
      <c r="G451" s="3"/>
      <c r="H451" s="4"/>
    </row>
    <row r="452" spans="3:8" ht="14.25" customHeight="1" x14ac:dyDescent="0.3">
      <c r="C452" s="2"/>
      <c r="E452" s="3"/>
      <c r="G452" s="3"/>
      <c r="H452" s="4"/>
    </row>
    <row r="453" spans="3:8" ht="14.25" customHeight="1" x14ac:dyDescent="0.3">
      <c r="C453" s="2"/>
      <c r="E453" s="3"/>
      <c r="G453" s="3"/>
      <c r="H453" s="4"/>
    </row>
    <row r="454" spans="3:8" ht="14.25" customHeight="1" x14ac:dyDescent="0.3">
      <c r="C454" s="2"/>
      <c r="E454" s="3"/>
      <c r="G454" s="3"/>
      <c r="H454" s="4"/>
    </row>
    <row r="455" spans="3:8" ht="14.25" customHeight="1" x14ac:dyDescent="0.3">
      <c r="C455" s="2"/>
      <c r="E455" s="3"/>
      <c r="G455" s="3"/>
      <c r="H455" s="4"/>
    </row>
    <row r="456" spans="3:8" ht="14.25" customHeight="1" x14ac:dyDescent="0.3">
      <c r="C456" s="2"/>
      <c r="E456" s="3"/>
      <c r="G456" s="3"/>
      <c r="H456" s="4"/>
    </row>
    <row r="457" spans="3:8" ht="14.25" customHeight="1" x14ac:dyDescent="0.3">
      <c r="C457" s="2"/>
      <c r="E457" s="3"/>
      <c r="G457" s="3"/>
      <c r="H457" s="4"/>
    </row>
    <row r="458" spans="3:8" ht="14.25" customHeight="1" x14ac:dyDescent="0.3">
      <c r="C458" s="2"/>
      <c r="E458" s="3"/>
      <c r="G458" s="3"/>
      <c r="H458" s="4"/>
    </row>
    <row r="459" spans="3:8" ht="14.25" customHeight="1" x14ac:dyDescent="0.3">
      <c r="C459" s="2"/>
      <c r="E459" s="3"/>
      <c r="G459" s="3"/>
      <c r="H459" s="4"/>
    </row>
    <row r="460" spans="3:8" ht="14.25" customHeight="1" x14ac:dyDescent="0.3">
      <c r="C460" s="2"/>
      <c r="E460" s="3"/>
      <c r="G460" s="3"/>
      <c r="H460" s="4"/>
    </row>
    <row r="461" spans="3:8" ht="14.25" customHeight="1" x14ac:dyDescent="0.3">
      <c r="C461" s="2"/>
      <c r="E461" s="3"/>
      <c r="G461" s="3"/>
      <c r="H461" s="4"/>
    </row>
    <row r="462" spans="3:8" ht="14.25" customHeight="1" x14ac:dyDescent="0.3">
      <c r="C462" s="2"/>
      <c r="E462" s="3"/>
      <c r="G462" s="3"/>
      <c r="H462" s="4"/>
    </row>
    <row r="463" spans="3:8" ht="14.25" customHeight="1" x14ac:dyDescent="0.3">
      <c r="C463" s="2"/>
      <c r="E463" s="3"/>
      <c r="G463" s="3"/>
      <c r="H463" s="4"/>
    </row>
    <row r="464" spans="3:8" ht="14.25" customHeight="1" x14ac:dyDescent="0.3">
      <c r="C464" s="2"/>
      <c r="E464" s="3"/>
      <c r="G464" s="3"/>
      <c r="H464" s="4"/>
    </row>
    <row r="465" spans="3:8" ht="14.25" customHeight="1" x14ac:dyDescent="0.3">
      <c r="C465" s="2"/>
      <c r="E465" s="3"/>
      <c r="G465" s="3"/>
      <c r="H465" s="4"/>
    </row>
    <row r="466" spans="3:8" ht="14.25" customHeight="1" x14ac:dyDescent="0.3">
      <c r="C466" s="2"/>
      <c r="E466" s="3"/>
      <c r="G466" s="3"/>
      <c r="H466" s="4"/>
    </row>
    <row r="467" spans="3:8" ht="14.25" customHeight="1" x14ac:dyDescent="0.3">
      <c r="C467" s="2"/>
      <c r="E467" s="3"/>
      <c r="G467" s="3"/>
      <c r="H467" s="4"/>
    </row>
    <row r="468" spans="3:8" ht="14.25" customHeight="1" x14ac:dyDescent="0.3">
      <c r="C468" s="2"/>
      <c r="E468" s="3"/>
      <c r="G468" s="3"/>
      <c r="H468" s="4"/>
    </row>
    <row r="469" spans="3:8" ht="14.25" customHeight="1" x14ac:dyDescent="0.3">
      <c r="C469" s="2"/>
      <c r="E469" s="3"/>
      <c r="G469" s="3"/>
      <c r="H469" s="4"/>
    </row>
    <row r="470" spans="3:8" ht="14.25" customHeight="1" x14ac:dyDescent="0.3">
      <c r="C470" s="2"/>
      <c r="E470" s="3"/>
      <c r="G470" s="3"/>
      <c r="H470" s="4"/>
    </row>
    <row r="471" spans="3:8" ht="14.25" customHeight="1" x14ac:dyDescent="0.3">
      <c r="C471" s="2"/>
      <c r="E471" s="3"/>
      <c r="G471" s="3"/>
      <c r="H471" s="4"/>
    </row>
    <row r="472" spans="3:8" ht="14.25" customHeight="1" x14ac:dyDescent="0.3">
      <c r="C472" s="2"/>
      <c r="E472" s="3"/>
      <c r="G472" s="3"/>
      <c r="H472" s="4"/>
    </row>
    <row r="473" spans="3:8" ht="14.25" customHeight="1" x14ac:dyDescent="0.3">
      <c r="C473" s="2"/>
      <c r="E473" s="3"/>
      <c r="G473" s="3"/>
      <c r="H473" s="4"/>
    </row>
    <row r="474" spans="3:8" ht="14.25" customHeight="1" x14ac:dyDescent="0.3">
      <c r="C474" s="2"/>
      <c r="E474" s="3"/>
      <c r="G474" s="3"/>
      <c r="H474" s="4"/>
    </row>
    <row r="475" spans="3:8" ht="14.25" customHeight="1" x14ac:dyDescent="0.3">
      <c r="C475" s="2"/>
      <c r="E475" s="3"/>
      <c r="G475" s="3"/>
      <c r="H475" s="4"/>
    </row>
    <row r="476" spans="3:8" ht="14.25" customHeight="1" x14ac:dyDescent="0.3">
      <c r="C476" s="2"/>
      <c r="E476" s="3"/>
      <c r="G476" s="3"/>
      <c r="H476" s="4"/>
    </row>
    <row r="477" spans="3:8" ht="14.25" customHeight="1" x14ac:dyDescent="0.3">
      <c r="C477" s="2"/>
      <c r="E477" s="3"/>
      <c r="G477" s="3"/>
      <c r="H477" s="4"/>
    </row>
    <row r="478" spans="3:8" ht="14.25" customHeight="1" x14ac:dyDescent="0.3">
      <c r="C478" s="2"/>
      <c r="E478" s="3"/>
      <c r="G478" s="3"/>
      <c r="H478" s="4"/>
    </row>
    <row r="479" spans="3:8" ht="14.25" customHeight="1" x14ac:dyDescent="0.3">
      <c r="C479" s="2"/>
      <c r="E479" s="3"/>
      <c r="G479" s="3"/>
      <c r="H479" s="4"/>
    </row>
    <row r="480" spans="3:8" ht="14.25" customHeight="1" x14ac:dyDescent="0.3">
      <c r="C480" s="2"/>
      <c r="E480" s="3"/>
      <c r="G480" s="3"/>
      <c r="H480" s="4"/>
    </row>
    <row r="481" spans="3:8" ht="14.25" customHeight="1" x14ac:dyDescent="0.3">
      <c r="C481" s="2"/>
      <c r="E481" s="3"/>
      <c r="G481" s="3"/>
      <c r="H481" s="4"/>
    </row>
    <row r="482" spans="3:8" ht="14.25" customHeight="1" x14ac:dyDescent="0.3">
      <c r="C482" s="2"/>
      <c r="E482" s="3"/>
      <c r="G482" s="3"/>
      <c r="H482" s="4"/>
    </row>
    <row r="483" spans="3:8" ht="14.25" customHeight="1" x14ac:dyDescent="0.3">
      <c r="C483" s="2"/>
      <c r="E483" s="3"/>
      <c r="G483" s="3"/>
      <c r="H483" s="4"/>
    </row>
    <row r="484" spans="3:8" ht="14.25" customHeight="1" x14ac:dyDescent="0.3">
      <c r="C484" s="2"/>
      <c r="E484" s="3"/>
      <c r="G484" s="3"/>
      <c r="H484" s="4"/>
    </row>
    <row r="485" spans="3:8" ht="14.25" customHeight="1" x14ac:dyDescent="0.3">
      <c r="C485" s="2"/>
      <c r="E485" s="3"/>
      <c r="G485" s="3"/>
      <c r="H485" s="4"/>
    </row>
    <row r="486" spans="3:8" ht="14.25" customHeight="1" x14ac:dyDescent="0.3">
      <c r="C486" s="2"/>
      <c r="E486" s="3"/>
      <c r="G486" s="3"/>
      <c r="H486" s="4"/>
    </row>
    <row r="487" spans="3:8" ht="14.25" customHeight="1" x14ac:dyDescent="0.3">
      <c r="C487" s="2"/>
      <c r="E487" s="3"/>
      <c r="G487" s="3"/>
      <c r="H487" s="4"/>
    </row>
    <row r="488" spans="3:8" ht="14.25" customHeight="1" x14ac:dyDescent="0.3">
      <c r="C488" s="2"/>
      <c r="E488" s="3"/>
      <c r="G488" s="3"/>
      <c r="H488" s="4"/>
    </row>
    <row r="489" spans="3:8" ht="14.25" customHeight="1" x14ac:dyDescent="0.3">
      <c r="C489" s="2"/>
      <c r="E489" s="3"/>
      <c r="G489" s="3"/>
      <c r="H489" s="4"/>
    </row>
    <row r="490" spans="3:8" ht="14.25" customHeight="1" x14ac:dyDescent="0.3">
      <c r="C490" s="2"/>
      <c r="E490" s="3"/>
      <c r="G490" s="3"/>
      <c r="H490" s="4"/>
    </row>
    <row r="491" spans="3:8" ht="14.25" customHeight="1" x14ac:dyDescent="0.3">
      <c r="C491" s="2"/>
      <c r="E491" s="3"/>
      <c r="G491" s="3"/>
      <c r="H491" s="4"/>
    </row>
    <row r="492" spans="3:8" ht="14.25" customHeight="1" x14ac:dyDescent="0.3">
      <c r="C492" s="2"/>
      <c r="E492" s="3"/>
      <c r="G492" s="3"/>
      <c r="H492" s="4"/>
    </row>
    <row r="493" spans="3:8" ht="14.25" customHeight="1" x14ac:dyDescent="0.3">
      <c r="C493" s="2"/>
      <c r="E493" s="3"/>
      <c r="G493" s="3"/>
      <c r="H493" s="4"/>
    </row>
    <row r="494" spans="3:8" ht="14.25" customHeight="1" x14ac:dyDescent="0.3">
      <c r="C494" s="2"/>
      <c r="E494" s="3"/>
      <c r="G494" s="3"/>
      <c r="H494" s="4"/>
    </row>
    <row r="495" spans="3:8" ht="14.25" customHeight="1" x14ac:dyDescent="0.3">
      <c r="C495" s="2"/>
      <c r="E495" s="3"/>
      <c r="G495" s="3"/>
      <c r="H495" s="4"/>
    </row>
    <row r="496" spans="3:8" ht="14.25" customHeight="1" x14ac:dyDescent="0.3">
      <c r="C496" s="2"/>
      <c r="E496" s="3"/>
      <c r="G496" s="3"/>
      <c r="H496" s="4"/>
    </row>
    <row r="497" spans="3:8" ht="14.25" customHeight="1" x14ac:dyDescent="0.3">
      <c r="C497" s="2"/>
      <c r="E497" s="3"/>
      <c r="G497" s="3"/>
      <c r="H497" s="4"/>
    </row>
    <row r="498" spans="3:8" ht="14.25" customHeight="1" x14ac:dyDescent="0.3">
      <c r="C498" s="2"/>
      <c r="E498" s="3"/>
      <c r="G498" s="3"/>
      <c r="H498" s="4"/>
    </row>
    <row r="499" spans="3:8" ht="14.25" customHeight="1" x14ac:dyDescent="0.3">
      <c r="C499" s="2"/>
      <c r="E499" s="3"/>
      <c r="G499" s="3"/>
      <c r="H499" s="4"/>
    </row>
    <row r="500" spans="3:8" ht="14.25" customHeight="1" x14ac:dyDescent="0.3">
      <c r="C500" s="2"/>
      <c r="E500" s="3"/>
      <c r="G500" s="3"/>
      <c r="H500" s="4"/>
    </row>
    <row r="501" spans="3:8" ht="14.25" customHeight="1" x14ac:dyDescent="0.3">
      <c r="C501" s="2"/>
      <c r="E501" s="3"/>
      <c r="G501" s="3"/>
      <c r="H501" s="4"/>
    </row>
    <row r="502" spans="3:8" ht="14.25" customHeight="1" x14ac:dyDescent="0.3">
      <c r="C502" s="2"/>
      <c r="E502" s="3"/>
      <c r="G502" s="3"/>
      <c r="H502" s="4"/>
    </row>
    <row r="503" spans="3:8" ht="14.25" customHeight="1" x14ac:dyDescent="0.3">
      <c r="C503" s="2"/>
      <c r="E503" s="3"/>
      <c r="G503" s="3"/>
      <c r="H503" s="4"/>
    </row>
    <row r="504" spans="3:8" ht="14.25" customHeight="1" x14ac:dyDescent="0.3">
      <c r="C504" s="2"/>
      <c r="E504" s="3"/>
      <c r="G504" s="3"/>
      <c r="H504" s="4"/>
    </row>
    <row r="505" spans="3:8" ht="14.25" customHeight="1" x14ac:dyDescent="0.3">
      <c r="C505" s="2"/>
      <c r="E505" s="3"/>
      <c r="G505" s="3"/>
      <c r="H505" s="4"/>
    </row>
    <row r="506" spans="3:8" ht="14.25" customHeight="1" x14ac:dyDescent="0.3">
      <c r="C506" s="2"/>
      <c r="E506" s="3"/>
      <c r="G506" s="3"/>
      <c r="H506" s="4"/>
    </row>
    <row r="507" spans="3:8" ht="14.25" customHeight="1" x14ac:dyDescent="0.3">
      <c r="C507" s="2"/>
      <c r="E507" s="3"/>
      <c r="G507" s="3"/>
      <c r="H507" s="4"/>
    </row>
    <row r="508" spans="3:8" ht="14.25" customHeight="1" x14ac:dyDescent="0.3">
      <c r="C508" s="2"/>
      <c r="E508" s="3"/>
      <c r="G508" s="3"/>
      <c r="H508" s="4"/>
    </row>
    <row r="509" spans="3:8" ht="14.25" customHeight="1" x14ac:dyDescent="0.3">
      <c r="C509" s="2"/>
      <c r="E509" s="3"/>
      <c r="G509" s="3"/>
      <c r="H509" s="4"/>
    </row>
    <row r="510" spans="3:8" ht="14.25" customHeight="1" x14ac:dyDescent="0.3">
      <c r="C510" s="2"/>
      <c r="E510" s="3"/>
      <c r="G510" s="3"/>
      <c r="H510" s="4"/>
    </row>
    <row r="511" spans="3:8" ht="14.25" customHeight="1" x14ac:dyDescent="0.3">
      <c r="C511" s="2"/>
      <c r="E511" s="3"/>
      <c r="G511" s="3"/>
      <c r="H511" s="4"/>
    </row>
    <row r="512" spans="3:8" ht="14.25" customHeight="1" x14ac:dyDescent="0.3">
      <c r="C512" s="2"/>
      <c r="E512" s="3"/>
      <c r="G512" s="3"/>
      <c r="H512" s="4"/>
    </row>
    <row r="513" spans="3:8" ht="14.25" customHeight="1" x14ac:dyDescent="0.3">
      <c r="C513" s="2"/>
      <c r="E513" s="3"/>
      <c r="G513" s="3"/>
      <c r="H513" s="4"/>
    </row>
    <row r="514" spans="3:8" ht="14.25" customHeight="1" x14ac:dyDescent="0.3">
      <c r="C514" s="2"/>
      <c r="E514" s="3"/>
      <c r="G514" s="3"/>
      <c r="H514" s="4"/>
    </row>
    <row r="515" spans="3:8" ht="14.25" customHeight="1" x14ac:dyDescent="0.3">
      <c r="C515" s="2"/>
      <c r="E515" s="3"/>
      <c r="G515" s="3"/>
      <c r="H515" s="4"/>
    </row>
    <row r="516" spans="3:8" ht="14.25" customHeight="1" x14ac:dyDescent="0.3">
      <c r="C516" s="2"/>
      <c r="E516" s="3"/>
      <c r="G516" s="3"/>
      <c r="H516" s="4"/>
    </row>
    <row r="517" spans="3:8" ht="14.25" customHeight="1" x14ac:dyDescent="0.3">
      <c r="C517" s="2"/>
      <c r="E517" s="3"/>
      <c r="G517" s="3"/>
      <c r="H517" s="4"/>
    </row>
    <row r="518" spans="3:8" ht="14.25" customHeight="1" x14ac:dyDescent="0.3">
      <c r="C518" s="2"/>
      <c r="E518" s="3"/>
      <c r="G518" s="3"/>
      <c r="H518" s="4"/>
    </row>
    <row r="519" spans="3:8" ht="14.25" customHeight="1" x14ac:dyDescent="0.3">
      <c r="C519" s="2"/>
      <c r="E519" s="3"/>
      <c r="G519" s="3"/>
      <c r="H519" s="4"/>
    </row>
    <row r="520" spans="3:8" ht="14.25" customHeight="1" x14ac:dyDescent="0.3">
      <c r="C520" s="2"/>
      <c r="E520" s="3"/>
      <c r="G520" s="3"/>
      <c r="H520" s="4"/>
    </row>
    <row r="521" spans="3:8" ht="14.25" customHeight="1" x14ac:dyDescent="0.3">
      <c r="C521" s="2"/>
      <c r="E521" s="3"/>
      <c r="G521" s="3"/>
      <c r="H521" s="4"/>
    </row>
    <row r="522" spans="3:8" ht="14.25" customHeight="1" x14ac:dyDescent="0.3">
      <c r="C522" s="2"/>
      <c r="E522" s="3"/>
      <c r="G522" s="3"/>
      <c r="H522" s="4"/>
    </row>
    <row r="523" spans="3:8" ht="14.25" customHeight="1" x14ac:dyDescent="0.3">
      <c r="C523" s="2"/>
      <c r="E523" s="3"/>
      <c r="G523" s="3"/>
      <c r="H523" s="4"/>
    </row>
    <row r="524" spans="3:8" ht="14.25" customHeight="1" x14ac:dyDescent="0.3">
      <c r="C524" s="2"/>
      <c r="E524" s="3"/>
      <c r="G524" s="3"/>
      <c r="H524" s="4"/>
    </row>
    <row r="525" spans="3:8" ht="14.25" customHeight="1" x14ac:dyDescent="0.3">
      <c r="C525" s="2"/>
      <c r="E525" s="3"/>
      <c r="G525" s="3"/>
      <c r="H525" s="4"/>
    </row>
    <row r="526" spans="3:8" ht="14.25" customHeight="1" x14ac:dyDescent="0.3">
      <c r="C526" s="2"/>
      <c r="E526" s="3"/>
      <c r="G526" s="3"/>
      <c r="H526" s="4"/>
    </row>
    <row r="527" spans="3:8" ht="14.25" customHeight="1" x14ac:dyDescent="0.3">
      <c r="C527" s="2"/>
      <c r="E527" s="3"/>
      <c r="G527" s="3"/>
      <c r="H527" s="4"/>
    </row>
    <row r="528" spans="3:8" ht="14.25" customHeight="1" x14ac:dyDescent="0.3">
      <c r="C528" s="2"/>
      <c r="E528" s="3"/>
      <c r="G528" s="3"/>
      <c r="H528" s="4"/>
    </row>
    <row r="529" spans="3:8" ht="14.25" customHeight="1" x14ac:dyDescent="0.3">
      <c r="C529" s="2"/>
      <c r="E529" s="3"/>
      <c r="G529" s="3"/>
      <c r="H529" s="4"/>
    </row>
    <row r="530" spans="3:8" ht="14.25" customHeight="1" x14ac:dyDescent="0.3">
      <c r="C530" s="2"/>
      <c r="E530" s="3"/>
      <c r="G530" s="3"/>
      <c r="H530" s="4"/>
    </row>
    <row r="531" spans="3:8" ht="14.25" customHeight="1" x14ac:dyDescent="0.3">
      <c r="C531" s="2"/>
      <c r="E531" s="3"/>
      <c r="G531" s="3"/>
      <c r="H531" s="4"/>
    </row>
    <row r="532" spans="3:8" ht="14.25" customHeight="1" x14ac:dyDescent="0.3">
      <c r="C532" s="2"/>
      <c r="E532" s="3"/>
      <c r="G532" s="3"/>
      <c r="H532" s="4"/>
    </row>
    <row r="533" spans="3:8" ht="14.25" customHeight="1" x14ac:dyDescent="0.3">
      <c r="C533" s="2"/>
      <c r="E533" s="3"/>
      <c r="G533" s="3"/>
      <c r="H533" s="4"/>
    </row>
    <row r="534" spans="3:8" ht="14.25" customHeight="1" x14ac:dyDescent="0.3">
      <c r="C534" s="2"/>
      <c r="E534" s="3"/>
      <c r="G534" s="3"/>
      <c r="H534" s="4"/>
    </row>
    <row r="535" spans="3:8" ht="14.25" customHeight="1" x14ac:dyDescent="0.3">
      <c r="C535" s="2"/>
      <c r="E535" s="3"/>
      <c r="G535" s="3"/>
      <c r="H535" s="4"/>
    </row>
    <row r="536" spans="3:8" ht="14.25" customHeight="1" x14ac:dyDescent="0.3">
      <c r="C536" s="2"/>
      <c r="E536" s="3"/>
      <c r="G536" s="3"/>
      <c r="H536" s="4"/>
    </row>
    <row r="537" spans="3:8" ht="14.25" customHeight="1" x14ac:dyDescent="0.3">
      <c r="C537" s="2"/>
      <c r="E537" s="3"/>
      <c r="G537" s="3"/>
      <c r="H537" s="4"/>
    </row>
    <row r="538" spans="3:8" ht="14.25" customHeight="1" x14ac:dyDescent="0.3">
      <c r="C538" s="2"/>
      <c r="E538" s="3"/>
      <c r="G538" s="3"/>
      <c r="H538" s="4"/>
    </row>
    <row r="539" spans="3:8" ht="14.25" customHeight="1" x14ac:dyDescent="0.3">
      <c r="C539" s="2"/>
      <c r="E539" s="3"/>
      <c r="G539" s="3"/>
      <c r="H539" s="4"/>
    </row>
    <row r="540" spans="3:8" ht="14.25" customHeight="1" x14ac:dyDescent="0.3">
      <c r="C540" s="2"/>
      <c r="E540" s="3"/>
      <c r="G540" s="3"/>
      <c r="H540" s="4"/>
    </row>
    <row r="541" spans="3:8" ht="14.25" customHeight="1" x14ac:dyDescent="0.3">
      <c r="C541" s="2"/>
      <c r="E541" s="3"/>
      <c r="G541" s="3"/>
      <c r="H541" s="4"/>
    </row>
    <row r="542" spans="3:8" ht="14.25" customHeight="1" x14ac:dyDescent="0.3">
      <c r="C542" s="2"/>
      <c r="E542" s="3"/>
      <c r="G542" s="3"/>
      <c r="H542" s="4"/>
    </row>
    <row r="543" spans="3:8" ht="14.25" customHeight="1" x14ac:dyDescent="0.3">
      <c r="C543" s="2"/>
      <c r="E543" s="3"/>
      <c r="G543" s="3"/>
      <c r="H543" s="4"/>
    </row>
    <row r="544" spans="3:8" ht="14.25" customHeight="1" x14ac:dyDescent="0.3">
      <c r="C544" s="2"/>
      <c r="E544" s="3"/>
      <c r="G544" s="3"/>
      <c r="H544" s="4"/>
    </row>
    <row r="545" spans="3:8" ht="14.25" customHeight="1" x14ac:dyDescent="0.3">
      <c r="C545" s="2"/>
      <c r="E545" s="3"/>
      <c r="G545" s="3"/>
      <c r="H545" s="4"/>
    </row>
    <row r="546" spans="3:8" ht="14.25" customHeight="1" x14ac:dyDescent="0.3">
      <c r="C546" s="2"/>
      <c r="E546" s="3"/>
      <c r="G546" s="3"/>
      <c r="H546" s="4"/>
    </row>
    <row r="547" spans="3:8" ht="14.25" customHeight="1" x14ac:dyDescent="0.3">
      <c r="C547" s="2"/>
      <c r="E547" s="3"/>
      <c r="G547" s="3"/>
      <c r="H547" s="4"/>
    </row>
    <row r="548" spans="3:8" ht="14.25" customHeight="1" x14ac:dyDescent="0.3">
      <c r="C548" s="2"/>
      <c r="E548" s="3"/>
      <c r="G548" s="3"/>
      <c r="H548" s="4"/>
    </row>
    <row r="549" spans="3:8" ht="14.25" customHeight="1" x14ac:dyDescent="0.3">
      <c r="C549" s="2"/>
      <c r="E549" s="3"/>
      <c r="G549" s="3"/>
      <c r="H549" s="4"/>
    </row>
    <row r="550" spans="3:8" ht="14.25" customHeight="1" x14ac:dyDescent="0.3">
      <c r="C550" s="2"/>
      <c r="E550" s="3"/>
      <c r="G550" s="3"/>
      <c r="H550" s="4"/>
    </row>
    <row r="551" spans="3:8" ht="14.25" customHeight="1" x14ac:dyDescent="0.3">
      <c r="C551" s="2"/>
      <c r="E551" s="3"/>
      <c r="G551" s="3"/>
      <c r="H551" s="4"/>
    </row>
    <row r="552" spans="3:8" ht="14.25" customHeight="1" x14ac:dyDescent="0.3">
      <c r="C552" s="2"/>
      <c r="E552" s="3"/>
      <c r="G552" s="3"/>
      <c r="H552" s="4"/>
    </row>
    <row r="553" spans="3:8" ht="14.25" customHeight="1" x14ac:dyDescent="0.3">
      <c r="C553" s="2"/>
      <c r="E553" s="3"/>
      <c r="G553" s="3"/>
      <c r="H553" s="4"/>
    </row>
    <row r="554" spans="3:8" ht="14.25" customHeight="1" x14ac:dyDescent="0.3">
      <c r="C554" s="2"/>
      <c r="E554" s="3"/>
      <c r="G554" s="3"/>
      <c r="H554" s="4"/>
    </row>
    <row r="555" spans="3:8" ht="14.25" customHeight="1" x14ac:dyDescent="0.3">
      <c r="C555" s="2"/>
      <c r="E555" s="3"/>
      <c r="G555" s="3"/>
      <c r="H555" s="4"/>
    </row>
    <row r="556" spans="3:8" ht="14.25" customHeight="1" x14ac:dyDescent="0.3">
      <c r="C556" s="2"/>
      <c r="E556" s="3"/>
      <c r="G556" s="3"/>
      <c r="H556" s="4"/>
    </row>
    <row r="557" spans="3:8" ht="14.25" customHeight="1" x14ac:dyDescent="0.3">
      <c r="C557" s="2"/>
      <c r="E557" s="3"/>
      <c r="G557" s="3"/>
      <c r="H557" s="4"/>
    </row>
    <row r="558" spans="3:8" ht="14.25" customHeight="1" x14ac:dyDescent="0.3">
      <c r="C558" s="2"/>
      <c r="E558" s="3"/>
      <c r="G558" s="3"/>
      <c r="H558" s="4"/>
    </row>
    <row r="559" spans="3:8" ht="14.25" customHeight="1" x14ac:dyDescent="0.3">
      <c r="C559" s="2"/>
      <c r="E559" s="3"/>
      <c r="G559" s="3"/>
      <c r="H559" s="4"/>
    </row>
    <row r="560" spans="3:8" ht="14.25" customHeight="1" x14ac:dyDescent="0.3">
      <c r="C560" s="2"/>
      <c r="E560" s="3"/>
      <c r="G560" s="3"/>
      <c r="H560" s="4"/>
    </row>
    <row r="561" spans="3:8" ht="14.25" customHeight="1" x14ac:dyDescent="0.3">
      <c r="C561" s="2"/>
      <c r="E561" s="3"/>
      <c r="G561" s="3"/>
      <c r="H561" s="4"/>
    </row>
    <row r="562" spans="3:8" ht="14.25" customHeight="1" x14ac:dyDescent="0.3">
      <c r="C562" s="2"/>
      <c r="E562" s="3"/>
      <c r="G562" s="3"/>
      <c r="H562" s="4"/>
    </row>
    <row r="563" spans="3:8" ht="14.25" customHeight="1" x14ac:dyDescent="0.3">
      <c r="C563" s="2"/>
      <c r="E563" s="3"/>
      <c r="G563" s="3"/>
      <c r="H563" s="4"/>
    </row>
    <row r="564" spans="3:8" ht="14.25" customHeight="1" x14ac:dyDescent="0.3">
      <c r="C564" s="2"/>
      <c r="E564" s="3"/>
      <c r="G564" s="3"/>
      <c r="H564" s="4"/>
    </row>
    <row r="565" spans="3:8" ht="14.25" customHeight="1" x14ac:dyDescent="0.3">
      <c r="C565" s="2"/>
      <c r="E565" s="3"/>
      <c r="G565" s="3"/>
      <c r="H565" s="4"/>
    </row>
    <row r="566" spans="3:8" ht="14.25" customHeight="1" x14ac:dyDescent="0.3">
      <c r="C566" s="2"/>
      <c r="E566" s="3"/>
      <c r="G566" s="3"/>
      <c r="H566" s="4"/>
    </row>
    <row r="567" spans="3:8" ht="14.25" customHeight="1" x14ac:dyDescent="0.3">
      <c r="C567" s="2"/>
      <c r="E567" s="3"/>
      <c r="G567" s="3"/>
      <c r="H567" s="4"/>
    </row>
    <row r="568" spans="3:8" ht="14.25" customHeight="1" x14ac:dyDescent="0.3">
      <c r="C568" s="2"/>
      <c r="E568" s="3"/>
      <c r="G568" s="3"/>
      <c r="H568" s="4"/>
    </row>
    <row r="569" spans="3:8" ht="14.25" customHeight="1" x14ac:dyDescent="0.3">
      <c r="C569" s="2"/>
      <c r="E569" s="3"/>
      <c r="G569" s="3"/>
      <c r="H569" s="4"/>
    </row>
    <row r="570" spans="3:8" ht="14.25" customHeight="1" x14ac:dyDescent="0.3">
      <c r="C570" s="2"/>
      <c r="E570" s="3"/>
      <c r="G570" s="3"/>
      <c r="H570" s="4"/>
    </row>
    <row r="571" spans="3:8" ht="14.25" customHeight="1" x14ac:dyDescent="0.3">
      <c r="C571" s="2"/>
      <c r="E571" s="3"/>
      <c r="G571" s="3"/>
      <c r="H571" s="4"/>
    </row>
    <row r="572" spans="3:8" ht="14.25" customHeight="1" x14ac:dyDescent="0.3">
      <c r="C572" s="2"/>
      <c r="E572" s="3"/>
      <c r="G572" s="3"/>
      <c r="H572" s="4"/>
    </row>
    <row r="573" spans="3:8" ht="14.25" customHeight="1" x14ac:dyDescent="0.3">
      <c r="C573" s="2"/>
      <c r="E573" s="3"/>
      <c r="G573" s="3"/>
      <c r="H573" s="4"/>
    </row>
    <row r="574" spans="3:8" ht="14.25" customHeight="1" x14ac:dyDescent="0.3">
      <c r="C574" s="2"/>
      <c r="E574" s="3"/>
      <c r="G574" s="3"/>
      <c r="H574" s="4"/>
    </row>
    <row r="575" spans="3:8" ht="14.25" customHeight="1" x14ac:dyDescent="0.3">
      <c r="C575" s="2"/>
      <c r="E575" s="3"/>
      <c r="G575" s="3"/>
      <c r="H575" s="4"/>
    </row>
    <row r="576" spans="3:8" ht="14.25" customHeight="1" x14ac:dyDescent="0.3">
      <c r="C576" s="2"/>
      <c r="E576" s="3"/>
      <c r="G576" s="3"/>
      <c r="H576" s="4"/>
    </row>
    <row r="577" spans="3:8" ht="14.25" customHeight="1" x14ac:dyDescent="0.3">
      <c r="C577" s="2"/>
      <c r="E577" s="3"/>
      <c r="G577" s="3"/>
      <c r="H577" s="4"/>
    </row>
    <row r="578" spans="3:8" ht="14.25" customHeight="1" x14ac:dyDescent="0.3">
      <c r="C578" s="2"/>
      <c r="E578" s="3"/>
      <c r="G578" s="3"/>
      <c r="H578" s="4"/>
    </row>
    <row r="579" spans="3:8" ht="14.25" customHeight="1" x14ac:dyDescent="0.3">
      <c r="C579" s="2"/>
      <c r="E579" s="3"/>
      <c r="G579" s="3"/>
      <c r="H579" s="4"/>
    </row>
    <row r="580" spans="3:8" ht="14.25" customHeight="1" x14ac:dyDescent="0.3">
      <c r="C580" s="2"/>
      <c r="E580" s="3"/>
      <c r="G580" s="3"/>
      <c r="H580" s="4"/>
    </row>
    <row r="581" spans="3:8" ht="14.25" customHeight="1" x14ac:dyDescent="0.3">
      <c r="C581" s="2"/>
      <c r="E581" s="3"/>
      <c r="G581" s="3"/>
      <c r="H581" s="4"/>
    </row>
    <row r="582" spans="3:8" ht="14.25" customHeight="1" x14ac:dyDescent="0.3">
      <c r="C582" s="2"/>
      <c r="E582" s="3"/>
      <c r="G582" s="3"/>
      <c r="H582" s="4"/>
    </row>
    <row r="583" spans="3:8" ht="14.25" customHeight="1" x14ac:dyDescent="0.3">
      <c r="C583" s="2"/>
      <c r="E583" s="3"/>
      <c r="G583" s="3"/>
      <c r="H583" s="4"/>
    </row>
    <row r="584" spans="3:8" ht="14.25" customHeight="1" x14ac:dyDescent="0.3">
      <c r="C584" s="2"/>
      <c r="E584" s="3"/>
      <c r="G584" s="3"/>
      <c r="H584" s="4"/>
    </row>
    <row r="585" spans="3:8" ht="14.25" customHeight="1" x14ac:dyDescent="0.3">
      <c r="C585" s="2"/>
      <c r="E585" s="3"/>
      <c r="G585" s="3"/>
      <c r="H585" s="4"/>
    </row>
    <row r="586" spans="3:8" ht="14.25" customHeight="1" x14ac:dyDescent="0.3">
      <c r="C586" s="2"/>
      <c r="E586" s="3"/>
      <c r="G586" s="3"/>
      <c r="H586" s="4"/>
    </row>
    <row r="587" spans="3:8" ht="14.25" customHeight="1" x14ac:dyDescent="0.3">
      <c r="C587" s="2"/>
      <c r="E587" s="3"/>
      <c r="G587" s="3"/>
      <c r="H587" s="4"/>
    </row>
    <row r="588" spans="3:8" ht="14.25" customHeight="1" x14ac:dyDescent="0.3">
      <c r="C588" s="2"/>
      <c r="E588" s="3"/>
      <c r="G588" s="3"/>
      <c r="H588" s="4"/>
    </row>
    <row r="589" spans="3:8" ht="14.25" customHeight="1" x14ac:dyDescent="0.3">
      <c r="C589" s="2"/>
      <c r="E589" s="3"/>
      <c r="G589" s="3"/>
      <c r="H589" s="4"/>
    </row>
    <row r="590" spans="3:8" ht="14.25" customHeight="1" x14ac:dyDescent="0.3">
      <c r="C590" s="2"/>
      <c r="E590" s="3"/>
      <c r="G590" s="3"/>
      <c r="H590" s="4"/>
    </row>
    <row r="591" spans="3:8" ht="14.25" customHeight="1" x14ac:dyDescent="0.3">
      <c r="C591" s="2"/>
      <c r="E591" s="3"/>
      <c r="G591" s="3"/>
      <c r="H591" s="4"/>
    </row>
    <row r="592" spans="3:8" ht="14.25" customHeight="1" x14ac:dyDescent="0.3">
      <c r="C592" s="2"/>
      <c r="E592" s="3"/>
      <c r="G592" s="3"/>
      <c r="H592" s="4"/>
    </row>
    <row r="593" spans="3:8" ht="14.25" customHeight="1" x14ac:dyDescent="0.3">
      <c r="C593" s="2"/>
      <c r="E593" s="3"/>
      <c r="G593" s="3"/>
      <c r="H593" s="4"/>
    </row>
    <row r="594" spans="3:8" ht="14.25" customHeight="1" x14ac:dyDescent="0.3">
      <c r="C594" s="2"/>
      <c r="E594" s="3"/>
      <c r="G594" s="3"/>
      <c r="H594" s="4"/>
    </row>
    <row r="595" spans="3:8" ht="14.25" customHeight="1" x14ac:dyDescent="0.3">
      <c r="C595" s="2"/>
      <c r="E595" s="3"/>
      <c r="G595" s="3"/>
      <c r="H595" s="4"/>
    </row>
    <row r="596" spans="3:8" ht="14.25" customHeight="1" x14ac:dyDescent="0.3">
      <c r="C596" s="2"/>
      <c r="E596" s="3"/>
      <c r="G596" s="3"/>
      <c r="H596" s="4"/>
    </row>
    <row r="597" spans="3:8" ht="14.25" customHeight="1" x14ac:dyDescent="0.3">
      <c r="C597" s="2"/>
      <c r="E597" s="3"/>
      <c r="G597" s="3"/>
      <c r="H597" s="4"/>
    </row>
    <row r="598" spans="3:8" ht="14.25" customHeight="1" x14ac:dyDescent="0.3">
      <c r="C598" s="2"/>
      <c r="E598" s="3"/>
      <c r="G598" s="3"/>
      <c r="H598" s="4"/>
    </row>
    <row r="599" spans="3:8" ht="14.25" customHeight="1" x14ac:dyDescent="0.3">
      <c r="C599" s="2"/>
      <c r="E599" s="3"/>
      <c r="G599" s="3"/>
      <c r="H599" s="4"/>
    </row>
    <row r="600" spans="3:8" ht="14.25" customHeight="1" x14ac:dyDescent="0.3">
      <c r="C600" s="2"/>
      <c r="E600" s="3"/>
      <c r="G600" s="3"/>
      <c r="H600" s="4"/>
    </row>
    <row r="601" spans="3:8" ht="14.25" customHeight="1" x14ac:dyDescent="0.3">
      <c r="C601" s="2"/>
      <c r="E601" s="3"/>
      <c r="G601" s="3"/>
      <c r="H601" s="4"/>
    </row>
    <row r="602" spans="3:8" ht="14.25" customHeight="1" x14ac:dyDescent="0.3">
      <c r="C602" s="2"/>
      <c r="E602" s="3"/>
      <c r="G602" s="3"/>
      <c r="H602" s="4"/>
    </row>
    <row r="603" spans="3:8" ht="14.25" customHeight="1" x14ac:dyDescent="0.3">
      <c r="C603" s="2"/>
      <c r="E603" s="3"/>
      <c r="G603" s="3"/>
      <c r="H603" s="4"/>
    </row>
    <row r="604" spans="3:8" ht="14.25" customHeight="1" x14ac:dyDescent="0.3">
      <c r="C604" s="2"/>
      <c r="E604" s="3"/>
      <c r="G604" s="3"/>
      <c r="H604" s="4"/>
    </row>
    <row r="605" spans="3:8" ht="14.25" customHeight="1" x14ac:dyDescent="0.3">
      <c r="C605" s="2"/>
      <c r="E605" s="3"/>
      <c r="G605" s="3"/>
      <c r="H605" s="4"/>
    </row>
    <row r="606" spans="3:8" ht="14.25" customHeight="1" x14ac:dyDescent="0.3">
      <c r="C606" s="2"/>
      <c r="E606" s="3"/>
      <c r="G606" s="3"/>
      <c r="H606" s="4"/>
    </row>
    <row r="607" spans="3:8" ht="14.25" customHeight="1" x14ac:dyDescent="0.3">
      <c r="C607" s="2"/>
      <c r="E607" s="3"/>
      <c r="G607" s="3"/>
      <c r="H607" s="4"/>
    </row>
    <row r="608" spans="3:8" ht="14.25" customHeight="1" x14ac:dyDescent="0.3">
      <c r="C608" s="2"/>
      <c r="E608" s="3"/>
      <c r="G608" s="3"/>
      <c r="H608" s="4"/>
    </row>
    <row r="609" spans="3:8" ht="14.25" customHeight="1" x14ac:dyDescent="0.3">
      <c r="C609" s="2"/>
      <c r="E609" s="3"/>
      <c r="G609" s="3"/>
      <c r="H609" s="4"/>
    </row>
    <row r="610" spans="3:8" ht="14.25" customHeight="1" x14ac:dyDescent="0.3">
      <c r="C610" s="2"/>
      <c r="E610" s="3"/>
      <c r="G610" s="3"/>
      <c r="H610" s="4"/>
    </row>
    <row r="611" spans="3:8" ht="14.25" customHeight="1" x14ac:dyDescent="0.3">
      <c r="C611" s="2"/>
      <c r="E611" s="3"/>
      <c r="G611" s="3"/>
      <c r="H611" s="4"/>
    </row>
    <row r="612" spans="3:8" ht="14.25" customHeight="1" x14ac:dyDescent="0.3">
      <c r="C612" s="2"/>
      <c r="E612" s="3"/>
      <c r="G612" s="3"/>
      <c r="H612" s="4"/>
    </row>
    <row r="613" spans="3:8" ht="14.25" customHeight="1" x14ac:dyDescent="0.3">
      <c r="C613" s="2"/>
      <c r="E613" s="3"/>
      <c r="G613" s="3"/>
      <c r="H613" s="4"/>
    </row>
    <row r="614" spans="3:8" ht="14.25" customHeight="1" x14ac:dyDescent="0.3">
      <c r="C614" s="2"/>
      <c r="E614" s="3"/>
      <c r="G614" s="3"/>
      <c r="H614" s="4"/>
    </row>
    <row r="615" spans="3:8" ht="14.25" customHeight="1" x14ac:dyDescent="0.3">
      <c r="C615" s="2"/>
      <c r="E615" s="3"/>
      <c r="G615" s="3"/>
      <c r="H615" s="4"/>
    </row>
    <row r="616" spans="3:8" ht="14.25" customHeight="1" x14ac:dyDescent="0.3">
      <c r="C616" s="2"/>
      <c r="E616" s="3"/>
      <c r="G616" s="3"/>
      <c r="H616" s="4"/>
    </row>
    <row r="617" spans="3:8" ht="14.25" customHeight="1" x14ac:dyDescent="0.3">
      <c r="C617" s="2"/>
      <c r="E617" s="3"/>
      <c r="G617" s="3"/>
      <c r="H617" s="4"/>
    </row>
    <row r="618" spans="3:8" ht="14.25" customHeight="1" x14ac:dyDescent="0.3">
      <c r="C618" s="2"/>
      <c r="E618" s="3"/>
      <c r="G618" s="3"/>
      <c r="H618" s="4"/>
    </row>
    <row r="619" spans="3:8" ht="14.25" customHeight="1" x14ac:dyDescent="0.3">
      <c r="C619" s="2"/>
      <c r="E619" s="3"/>
      <c r="G619" s="3"/>
      <c r="H619" s="4"/>
    </row>
    <row r="620" spans="3:8" ht="14.25" customHeight="1" x14ac:dyDescent="0.3">
      <c r="C620" s="2"/>
      <c r="E620" s="3"/>
      <c r="G620" s="3"/>
      <c r="H620" s="4"/>
    </row>
    <row r="621" spans="3:8" ht="14.25" customHeight="1" x14ac:dyDescent="0.3">
      <c r="C621" s="2"/>
      <c r="E621" s="3"/>
      <c r="G621" s="3"/>
      <c r="H621" s="4"/>
    </row>
    <row r="622" spans="3:8" ht="14.25" customHeight="1" x14ac:dyDescent="0.3">
      <c r="C622" s="2"/>
      <c r="E622" s="3"/>
      <c r="G622" s="3"/>
      <c r="H622" s="4"/>
    </row>
    <row r="623" spans="3:8" ht="14.25" customHeight="1" x14ac:dyDescent="0.3">
      <c r="C623" s="2"/>
      <c r="E623" s="3"/>
      <c r="G623" s="3"/>
      <c r="H623" s="4"/>
    </row>
    <row r="624" spans="3:8" ht="14.25" customHeight="1" x14ac:dyDescent="0.3">
      <c r="C624" s="2"/>
      <c r="E624" s="3"/>
      <c r="G624" s="3"/>
      <c r="H624" s="4"/>
    </row>
    <row r="625" spans="3:8" ht="14.25" customHeight="1" x14ac:dyDescent="0.3">
      <c r="C625" s="2"/>
      <c r="E625" s="3"/>
      <c r="G625" s="3"/>
      <c r="H625" s="4"/>
    </row>
    <row r="626" spans="3:8" ht="14.25" customHeight="1" x14ac:dyDescent="0.3">
      <c r="C626" s="2"/>
      <c r="E626" s="3"/>
      <c r="G626" s="3"/>
      <c r="H626" s="4"/>
    </row>
    <row r="627" spans="3:8" ht="14.25" customHeight="1" x14ac:dyDescent="0.3">
      <c r="C627" s="2"/>
      <c r="E627" s="3"/>
      <c r="G627" s="3"/>
      <c r="H627" s="4"/>
    </row>
    <row r="628" spans="3:8" ht="14.25" customHeight="1" x14ac:dyDescent="0.3">
      <c r="C628" s="2"/>
      <c r="E628" s="3"/>
      <c r="G628" s="3"/>
      <c r="H628" s="4"/>
    </row>
    <row r="629" spans="3:8" ht="14.25" customHeight="1" x14ac:dyDescent="0.3">
      <c r="C629" s="2"/>
      <c r="E629" s="3"/>
      <c r="G629" s="3"/>
      <c r="H629" s="4"/>
    </row>
    <row r="630" spans="3:8" ht="14.25" customHeight="1" x14ac:dyDescent="0.3">
      <c r="C630" s="2"/>
      <c r="E630" s="3"/>
      <c r="G630" s="3"/>
      <c r="H630" s="4"/>
    </row>
    <row r="631" spans="3:8" ht="14.25" customHeight="1" x14ac:dyDescent="0.3">
      <c r="C631" s="2"/>
      <c r="E631" s="3"/>
      <c r="G631" s="3"/>
      <c r="H631" s="4"/>
    </row>
    <row r="632" spans="3:8" ht="14.25" customHeight="1" x14ac:dyDescent="0.3">
      <c r="C632" s="2"/>
      <c r="E632" s="3"/>
      <c r="G632" s="3"/>
      <c r="H632" s="4"/>
    </row>
    <row r="633" spans="3:8" ht="14.25" customHeight="1" x14ac:dyDescent="0.3">
      <c r="C633" s="2"/>
      <c r="E633" s="3"/>
      <c r="G633" s="3"/>
      <c r="H633" s="4"/>
    </row>
    <row r="634" spans="3:8" ht="14.25" customHeight="1" x14ac:dyDescent="0.3">
      <c r="C634" s="2"/>
      <c r="E634" s="3"/>
      <c r="G634" s="3"/>
      <c r="H634" s="4"/>
    </row>
    <row r="635" spans="3:8" ht="14.25" customHeight="1" x14ac:dyDescent="0.3">
      <c r="C635" s="2"/>
      <c r="E635" s="3"/>
      <c r="G635" s="3"/>
      <c r="H635" s="4"/>
    </row>
    <row r="636" spans="3:8" ht="14.25" customHeight="1" x14ac:dyDescent="0.3">
      <c r="C636" s="2"/>
      <c r="E636" s="3"/>
      <c r="G636" s="3"/>
      <c r="H636" s="4"/>
    </row>
    <row r="637" spans="3:8" ht="14.25" customHeight="1" x14ac:dyDescent="0.3">
      <c r="C637" s="2"/>
      <c r="E637" s="3"/>
      <c r="G637" s="3"/>
      <c r="H637" s="4"/>
    </row>
    <row r="638" spans="3:8" ht="14.25" customHeight="1" x14ac:dyDescent="0.3">
      <c r="C638" s="2"/>
      <c r="E638" s="3"/>
      <c r="G638" s="3"/>
      <c r="H638" s="4"/>
    </row>
    <row r="639" spans="3:8" ht="14.25" customHeight="1" x14ac:dyDescent="0.3">
      <c r="C639" s="2"/>
      <c r="E639" s="3"/>
      <c r="G639" s="3"/>
      <c r="H639" s="4"/>
    </row>
    <row r="640" spans="3:8" ht="14.25" customHeight="1" x14ac:dyDescent="0.3">
      <c r="C640" s="2"/>
      <c r="E640" s="3"/>
      <c r="G640" s="3"/>
      <c r="H640" s="4"/>
    </row>
    <row r="641" spans="3:8" ht="14.25" customHeight="1" x14ac:dyDescent="0.3">
      <c r="C641" s="2"/>
      <c r="E641" s="3"/>
      <c r="G641" s="3"/>
      <c r="H641" s="4"/>
    </row>
    <row r="642" spans="3:8" ht="14.25" customHeight="1" x14ac:dyDescent="0.3">
      <c r="C642" s="2"/>
      <c r="E642" s="3"/>
      <c r="G642" s="3"/>
      <c r="H642" s="4"/>
    </row>
    <row r="643" spans="3:8" ht="14.25" customHeight="1" x14ac:dyDescent="0.3">
      <c r="C643" s="2"/>
      <c r="E643" s="3"/>
      <c r="G643" s="3"/>
      <c r="H643" s="4"/>
    </row>
    <row r="644" spans="3:8" ht="14.25" customHeight="1" x14ac:dyDescent="0.3">
      <c r="C644" s="2"/>
      <c r="E644" s="3"/>
      <c r="G644" s="3"/>
      <c r="H644" s="4"/>
    </row>
    <row r="645" spans="3:8" ht="14.25" customHeight="1" x14ac:dyDescent="0.3">
      <c r="C645" s="2"/>
      <c r="E645" s="3"/>
      <c r="G645" s="3"/>
      <c r="H645" s="4"/>
    </row>
    <row r="646" spans="3:8" ht="14.25" customHeight="1" x14ac:dyDescent="0.3">
      <c r="C646" s="2"/>
      <c r="E646" s="3"/>
      <c r="G646" s="3"/>
      <c r="H646" s="4"/>
    </row>
    <row r="647" spans="3:8" ht="14.25" customHeight="1" x14ac:dyDescent="0.3">
      <c r="C647" s="2"/>
      <c r="E647" s="3"/>
      <c r="G647" s="3"/>
      <c r="H647" s="4"/>
    </row>
    <row r="648" spans="3:8" ht="14.25" customHeight="1" x14ac:dyDescent="0.3">
      <c r="C648" s="2"/>
      <c r="E648" s="3"/>
      <c r="G648" s="3"/>
      <c r="H648" s="4"/>
    </row>
    <row r="649" spans="3:8" ht="14.25" customHeight="1" x14ac:dyDescent="0.3">
      <c r="C649" s="2"/>
      <c r="E649" s="3"/>
      <c r="G649" s="3"/>
      <c r="H649" s="4"/>
    </row>
    <row r="650" spans="3:8" ht="14.25" customHeight="1" x14ac:dyDescent="0.3">
      <c r="C650" s="2"/>
      <c r="E650" s="3"/>
      <c r="G650" s="3"/>
      <c r="H650" s="4"/>
    </row>
    <row r="651" spans="3:8" ht="14.25" customHeight="1" x14ac:dyDescent="0.3">
      <c r="C651" s="2"/>
      <c r="E651" s="3"/>
      <c r="G651" s="3"/>
      <c r="H651" s="4"/>
    </row>
    <row r="652" spans="3:8" ht="14.25" customHeight="1" x14ac:dyDescent="0.3">
      <c r="C652" s="2"/>
      <c r="E652" s="3"/>
      <c r="G652" s="3"/>
      <c r="H652" s="4"/>
    </row>
    <row r="653" spans="3:8" ht="14.25" customHeight="1" x14ac:dyDescent="0.3">
      <c r="C653" s="2"/>
      <c r="E653" s="3"/>
      <c r="G653" s="3"/>
      <c r="H653" s="4"/>
    </row>
    <row r="654" spans="3:8" ht="14.25" customHeight="1" x14ac:dyDescent="0.3">
      <c r="C654" s="2"/>
      <c r="E654" s="3"/>
      <c r="G654" s="3"/>
      <c r="H654" s="4"/>
    </row>
    <row r="655" spans="3:8" ht="14.25" customHeight="1" x14ac:dyDescent="0.3">
      <c r="C655" s="2"/>
      <c r="E655" s="3"/>
      <c r="G655" s="3"/>
      <c r="H655" s="4"/>
    </row>
    <row r="656" spans="3:8" ht="14.25" customHeight="1" x14ac:dyDescent="0.3">
      <c r="C656" s="2"/>
      <c r="E656" s="3"/>
      <c r="G656" s="3"/>
      <c r="H656" s="4"/>
    </row>
    <row r="657" spans="3:8" ht="14.25" customHeight="1" x14ac:dyDescent="0.3">
      <c r="C657" s="2"/>
      <c r="E657" s="3"/>
      <c r="G657" s="3"/>
      <c r="H657" s="4"/>
    </row>
    <row r="658" spans="3:8" ht="14.25" customHeight="1" x14ac:dyDescent="0.3">
      <c r="C658" s="2"/>
      <c r="E658" s="3"/>
      <c r="G658" s="3"/>
      <c r="H658" s="4"/>
    </row>
    <row r="659" spans="3:8" ht="14.25" customHeight="1" x14ac:dyDescent="0.3">
      <c r="C659" s="2"/>
      <c r="E659" s="3"/>
      <c r="G659" s="3"/>
      <c r="H659" s="4"/>
    </row>
    <row r="660" spans="3:8" ht="14.25" customHeight="1" x14ac:dyDescent="0.3">
      <c r="C660" s="2"/>
      <c r="E660" s="3"/>
      <c r="G660" s="3"/>
      <c r="H660" s="4"/>
    </row>
    <row r="661" spans="3:8" ht="14.25" customHeight="1" x14ac:dyDescent="0.3">
      <c r="C661" s="2"/>
      <c r="E661" s="3"/>
      <c r="G661" s="3"/>
      <c r="H661" s="4"/>
    </row>
    <row r="662" spans="3:8" ht="14.25" customHeight="1" x14ac:dyDescent="0.3">
      <c r="C662" s="2"/>
      <c r="E662" s="3"/>
      <c r="G662" s="3"/>
      <c r="H662" s="4"/>
    </row>
    <row r="663" spans="3:8" ht="14.25" customHeight="1" x14ac:dyDescent="0.3">
      <c r="C663" s="2"/>
      <c r="E663" s="3"/>
      <c r="G663" s="3"/>
      <c r="H663" s="4"/>
    </row>
    <row r="664" spans="3:8" ht="14.25" customHeight="1" x14ac:dyDescent="0.3">
      <c r="C664" s="2"/>
      <c r="E664" s="3"/>
      <c r="G664" s="3"/>
      <c r="H664" s="4"/>
    </row>
    <row r="665" spans="3:8" ht="14.25" customHeight="1" x14ac:dyDescent="0.3">
      <c r="C665" s="2"/>
      <c r="E665" s="3"/>
      <c r="G665" s="3"/>
      <c r="H665" s="4"/>
    </row>
    <row r="666" spans="3:8" ht="14.25" customHeight="1" x14ac:dyDescent="0.3">
      <c r="C666" s="2"/>
      <c r="E666" s="3"/>
      <c r="G666" s="3"/>
      <c r="H666" s="4"/>
    </row>
    <row r="667" spans="3:8" ht="14.25" customHeight="1" x14ac:dyDescent="0.3">
      <c r="C667" s="2"/>
      <c r="E667" s="3"/>
      <c r="G667" s="3"/>
      <c r="H667" s="4"/>
    </row>
    <row r="668" spans="3:8" ht="14.25" customHeight="1" x14ac:dyDescent="0.3">
      <c r="C668" s="2"/>
      <c r="E668" s="3"/>
      <c r="G668" s="3"/>
      <c r="H668" s="4"/>
    </row>
    <row r="669" spans="3:8" ht="14.25" customHeight="1" x14ac:dyDescent="0.3">
      <c r="C669" s="2"/>
      <c r="E669" s="3"/>
      <c r="G669" s="3"/>
      <c r="H669" s="4"/>
    </row>
    <row r="670" spans="3:8" ht="14.25" customHeight="1" x14ac:dyDescent="0.3">
      <c r="C670" s="2"/>
      <c r="E670" s="3"/>
      <c r="G670" s="3"/>
      <c r="H670" s="4"/>
    </row>
    <row r="671" spans="3:8" ht="14.25" customHeight="1" x14ac:dyDescent="0.3">
      <c r="C671" s="2"/>
      <c r="E671" s="3"/>
      <c r="G671" s="3"/>
      <c r="H671" s="4"/>
    </row>
    <row r="672" spans="3:8" ht="14.25" customHeight="1" x14ac:dyDescent="0.3">
      <c r="C672" s="2"/>
      <c r="E672" s="3"/>
      <c r="G672" s="3"/>
      <c r="H672" s="4"/>
    </row>
    <row r="673" spans="3:8" ht="14.25" customHeight="1" x14ac:dyDescent="0.3">
      <c r="C673" s="2"/>
      <c r="E673" s="3"/>
      <c r="G673" s="3"/>
      <c r="H673" s="4"/>
    </row>
    <row r="674" spans="3:8" ht="14.25" customHeight="1" x14ac:dyDescent="0.3">
      <c r="C674" s="2"/>
      <c r="E674" s="3"/>
      <c r="G674" s="3"/>
      <c r="H674" s="4"/>
    </row>
    <row r="675" spans="3:8" ht="14.25" customHeight="1" x14ac:dyDescent="0.3">
      <c r="C675" s="2"/>
      <c r="E675" s="3"/>
      <c r="G675" s="3"/>
      <c r="H675" s="4"/>
    </row>
    <row r="676" spans="3:8" ht="14.25" customHeight="1" x14ac:dyDescent="0.3">
      <c r="C676" s="2"/>
      <c r="E676" s="3"/>
      <c r="G676" s="3"/>
      <c r="H676" s="4"/>
    </row>
    <row r="677" spans="3:8" ht="14.25" customHeight="1" x14ac:dyDescent="0.3">
      <c r="C677" s="2"/>
      <c r="E677" s="3"/>
      <c r="G677" s="3"/>
      <c r="H677" s="4"/>
    </row>
    <row r="678" spans="3:8" ht="14.25" customHeight="1" x14ac:dyDescent="0.3">
      <c r="C678" s="2"/>
      <c r="E678" s="3"/>
      <c r="G678" s="3"/>
      <c r="H678" s="4"/>
    </row>
    <row r="679" spans="3:8" ht="14.25" customHeight="1" x14ac:dyDescent="0.3">
      <c r="C679" s="2"/>
      <c r="E679" s="3"/>
      <c r="G679" s="3"/>
      <c r="H679" s="4"/>
    </row>
    <row r="680" spans="3:8" ht="14.25" customHeight="1" x14ac:dyDescent="0.3">
      <c r="C680" s="2"/>
      <c r="E680" s="3"/>
      <c r="G680" s="3"/>
      <c r="H680" s="4"/>
    </row>
    <row r="681" spans="3:8" ht="14.25" customHeight="1" x14ac:dyDescent="0.3">
      <c r="C681" s="2"/>
      <c r="E681" s="3"/>
      <c r="G681" s="3"/>
      <c r="H681" s="4"/>
    </row>
    <row r="682" spans="3:8" ht="14.25" customHeight="1" x14ac:dyDescent="0.3">
      <c r="C682" s="2"/>
      <c r="E682" s="3"/>
      <c r="G682" s="3"/>
      <c r="H682" s="4"/>
    </row>
    <row r="683" spans="3:8" ht="14.25" customHeight="1" x14ac:dyDescent="0.3">
      <c r="C683" s="2"/>
      <c r="E683" s="3"/>
      <c r="G683" s="3"/>
      <c r="H683" s="4"/>
    </row>
    <row r="684" spans="3:8" ht="14.25" customHeight="1" x14ac:dyDescent="0.3">
      <c r="C684" s="2"/>
      <c r="E684" s="3"/>
      <c r="G684" s="3"/>
      <c r="H684" s="4"/>
    </row>
    <row r="685" spans="3:8" ht="14.25" customHeight="1" x14ac:dyDescent="0.3">
      <c r="C685" s="2"/>
      <c r="E685" s="3"/>
      <c r="G685" s="3"/>
      <c r="H685" s="4"/>
    </row>
    <row r="686" spans="3:8" ht="14.25" customHeight="1" x14ac:dyDescent="0.3">
      <c r="C686" s="2"/>
      <c r="E686" s="3"/>
      <c r="G686" s="3"/>
      <c r="H686" s="4"/>
    </row>
    <row r="687" spans="3:8" ht="14.25" customHeight="1" x14ac:dyDescent="0.3">
      <c r="C687" s="2"/>
      <c r="E687" s="3"/>
      <c r="G687" s="3"/>
      <c r="H687" s="4"/>
    </row>
    <row r="688" spans="3:8" ht="14.25" customHeight="1" x14ac:dyDescent="0.3">
      <c r="C688" s="2"/>
      <c r="E688" s="3"/>
      <c r="G688" s="3"/>
      <c r="H688" s="4"/>
    </row>
    <row r="689" spans="3:8" ht="14.25" customHeight="1" x14ac:dyDescent="0.3">
      <c r="C689" s="2"/>
      <c r="E689" s="3"/>
      <c r="G689" s="3"/>
      <c r="H689" s="4"/>
    </row>
    <row r="690" spans="3:8" ht="14.25" customHeight="1" x14ac:dyDescent="0.3">
      <c r="C690" s="2"/>
      <c r="E690" s="3"/>
      <c r="G690" s="3"/>
      <c r="H690" s="4"/>
    </row>
    <row r="691" spans="3:8" ht="14.25" customHeight="1" x14ac:dyDescent="0.3">
      <c r="C691" s="2"/>
      <c r="E691" s="3"/>
      <c r="G691" s="3"/>
      <c r="H691" s="4"/>
    </row>
    <row r="692" spans="3:8" ht="14.25" customHeight="1" x14ac:dyDescent="0.3">
      <c r="C692" s="2"/>
      <c r="E692" s="3"/>
      <c r="G692" s="3"/>
      <c r="H692" s="4"/>
    </row>
    <row r="693" spans="3:8" ht="14.25" customHeight="1" x14ac:dyDescent="0.3">
      <c r="C693" s="2"/>
      <c r="E693" s="3"/>
      <c r="G693" s="3"/>
      <c r="H693" s="4"/>
    </row>
    <row r="694" spans="3:8" ht="14.25" customHeight="1" x14ac:dyDescent="0.3">
      <c r="C694" s="2"/>
      <c r="E694" s="3"/>
      <c r="G694" s="3"/>
      <c r="H694" s="4"/>
    </row>
    <row r="695" spans="3:8" ht="14.25" customHeight="1" x14ac:dyDescent="0.3">
      <c r="C695" s="2"/>
      <c r="E695" s="3"/>
      <c r="G695" s="3"/>
      <c r="H695" s="4"/>
    </row>
    <row r="696" spans="3:8" ht="14.25" customHeight="1" x14ac:dyDescent="0.3">
      <c r="C696" s="2"/>
      <c r="E696" s="3"/>
      <c r="G696" s="3"/>
      <c r="H696" s="4"/>
    </row>
    <row r="697" spans="3:8" ht="14.25" customHeight="1" x14ac:dyDescent="0.3">
      <c r="C697" s="2"/>
      <c r="E697" s="3"/>
      <c r="G697" s="3"/>
      <c r="H697" s="4"/>
    </row>
    <row r="698" spans="3:8" ht="14.25" customHeight="1" x14ac:dyDescent="0.3">
      <c r="C698" s="2"/>
      <c r="E698" s="3"/>
      <c r="G698" s="3"/>
      <c r="H698" s="4"/>
    </row>
    <row r="699" spans="3:8" ht="14.25" customHeight="1" x14ac:dyDescent="0.3">
      <c r="C699" s="2"/>
      <c r="E699" s="3"/>
      <c r="G699" s="3"/>
      <c r="H699" s="4"/>
    </row>
    <row r="700" spans="3:8" ht="14.25" customHeight="1" x14ac:dyDescent="0.3">
      <c r="C700" s="2"/>
      <c r="E700" s="3"/>
      <c r="G700" s="3"/>
      <c r="H700" s="4"/>
    </row>
    <row r="701" spans="3:8" ht="14.25" customHeight="1" x14ac:dyDescent="0.3">
      <c r="C701" s="2"/>
      <c r="E701" s="3"/>
      <c r="G701" s="3"/>
      <c r="H701" s="4"/>
    </row>
    <row r="702" spans="3:8" ht="14.25" customHeight="1" x14ac:dyDescent="0.3">
      <c r="C702" s="2"/>
      <c r="E702" s="3"/>
      <c r="G702" s="3"/>
      <c r="H702" s="4"/>
    </row>
    <row r="703" spans="3:8" ht="14.25" customHeight="1" x14ac:dyDescent="0.3">
      <c r="C703" s="2"/>
      <c r="E703" s="3"/>
      <c r="G703" s="3"/>
      <c r="H703" s="4"/>
    </row>
    <row r="704" spans="3:8" ht="14.25" customHeight="1" x14ac:dyDescent="0.3">
      <c r="C704" s="2"/>
      <c r="E704" s="3"/>
      <c r="G704" s="3"/>
      <c r="H704" s="4"/>
    </row>
    <row r="705" spans="3:8" ht="14.25" customHeight="1" x14ac:dyDescent="0.3">
      <c r="C705" s="2"/>
      <c r="E705" s="3"/>
      <c r="G705" s="3"/>
      <c r="H705" s="4"/>
    </row>
    <row r="706" spans="3:8" ht="14.25" customHeight="1" x14ac:dyDescent="0.3">
      <c r="C706" s="2"/>
      <c r="E706" s="3"/>
      <c r="G706" s="3"/>
      <c r="H706" s="4"/>
    </row>
    <row r="707" spans="3:8" ht="14.25" customHeight="1" x14ac:dyDescent="0.3">
      <c r="C707" s="2"/>
      <c r="E707" s="3"/>
      <c r="G707" s="3"/>
      <c r="H707" s="4"/>
    </row>
    <row r="708" spans="3:8" ht="14.25" customHeight="1" x14ac:dyDescent="0.3">
      <c r="C708" s="2"/>
      <c r="E708" s="3"/>
      <c r="G708" s="3"/>
      <c r="H708" s="4"/>
    </row>
    <row r="709" spans="3:8" ht="14.25" customHeight="1" x14ac:dyDescent="0.3">
      <c r="C709" s="2"/>
      <c r="E709" s="3"/>
      <c r="G709" s="3"/>
      <c r="H709" s="4"/>
    </row>
    <row r="710" spans="3:8" ht="14.25" customHeight="1" x14ac:dyDescent="0.3">
      <c r="C710" s="2"/>
      <c r="E710" s="3"/>
      <c r="G710" s="3"/>
      <c r="H710" s="4"/>
    </row>
    <row r="711" spans="3:8" ht="14.25" customHeight="1" x14ac:dyDescent="0.3">
      <c r="C711" s="2"/>
      <c r="E711" s="3"/>
      <c r="G711" s="3"/>
      <c r="H711" s="4"/>
    </row>
    <row r="712" spans="3:8" ht="14.25" customHeight="1" x14ac:dyDescent="0.3">
      <c r="C712" s="2"/>
      <c r="E712" s="3"/>
      <c r="G712" s="3"/>
      <c r="H712" s="4"/>
    </row>
    <row r="713" spans="3:8" ht="14.25" customHeight="1" x14ac:dyDescent="0.3">
      <c r="C713" s="2"/>
      <c r="E713" s="3"/>
      <c r="G713" s="3"/>
      <c r="H713" s="4"/>
    </row>
    <row r="714" spans="3:8" ht="14.25" customHeight="1" x14ac:dyDescent="0.3">
      <c r="C714" s="2"/>
      <c r="E714" s="3"/>
      <c r="G714" s="3"/>
      <c r="H714" s="4"/>
    </row>
    <row r="715" spans="3:8" ht="14.25" customHeight="1" x14ac:dyDescent="0.3">
      <c r="C715" s="2"/>
      <c r="E715" s="3"/>
      <c r="G715" s="3"/>
      <c r="H715" s="4"/>
    </row>
    <row r="716" spans="3:8" ht="14.25" customHeight="1" x14ac:dyDescent="0.3">
      <c r="C716" s="2"/>
      <c r="E716" s="3"/>
      <c r="G716" s="3"/>
      <c r="H716" s="4"/>
    </row>
    <row r="717" spans="3:8" ht="14.25" customHeight="1" x14ac:dyDescent="0.3">
      <c r="C717" s="2"/>
      <c r="E717" s="3"/>
      <c r="G717" s="3"/>
      <c r="H717" s="4"/>
    </row>
    <row r="718" spans="3:8" ht="14.25" customHeight="1" x14ac:dyDescent="0.3">
      <c r="C718" s="2"/>
      <c r="E718" s="3"/>
      <c r="G718" s="3"/>
      <c r="H718" s="4"/>
    </row>
    <row r="719" spans="3:8" ht="14.25" customHeight="1" x14ac:dyDescent="0.3">
      <c r="C719" s="2"/>
      <c r="E719" s="3"/>
      <c r="G719" s="3"/>
      <c r="H719" s="4"/>
    </row>
    <row r="720" spans="3:8" ht="14.25" customHeight="1" x14ac:dyDescent="0.3">
      <c r="C720" s="2"/>
      <c r="E720" s="3"/>
      <c r="G720" s="3"/>
      <c r="H720" s="4"/>
    </row>
    <row r="721" spans="3:8" ht="14.25" customHeight="1" x14ac:dyDescent="0.3">
      <c r="C721" s="2"/>
      <c r="E721" s="3"/>
      <c r="G721" s="3"/>
      <c r="H721" s="4"/>
    </row>
    <row r="722" spans="3:8" ht="14.25" customHeight="1" x14ac:dyDescent="0.3">
      <c r="C722" s="2"/>
      <c r="E722" s="3"/>
      <c r="G722" s="3"/>
      <c r="H722" s="4"/>
    </row>
    <row r="723" spans="3:8" ht="14.25" customHeight="1" x14ac:dyDescent="0.3">
      <c r="C723" s="2"/>
      <c r="E723" s="3"/>
      <c r="G723" s="3"/>
      <c r="H723" s="4"/>
    </row>
    <row r="724" spans="3:8" ht="14.25" customHeight="1" x14ac:dyDescent="0.3">
      <c r="C724" s="2"/>
      <c r="E724" s="3"/>
      <c r="G724" s="3"/>
      <c r="H724" s="4"/>
    </row>
    <row r="725" spans="3:8" ht="14.25" customHeight="1" x14ac:dyDescent="0.3">
      <c r="C725" s="2"/>
      <c r="E725" s="3"/>
      <c r="G725" s="3"/>
      <c r="H725" s="4"/>
    </row>
    <row r="726" spans="3:8" ht="14.25" customHeight="1" x14ac:dyDescent="0.3">
      <c r="C726" s="2"/>
      <c r="E726" s="3"/>
      <c r="G726" s="3"/>
      <c r="H726" s="4"/>
    </row>
    <row r="727" spans="3:8" ht="14.25" customHeight="1" x14ac:dyDescent="0.3">
      <c r="C727" s="2"/>
      <c r="E727" s="3"/>
      <c r="G727" s="3"/>
      <c r="H727" s="4"/>
    </row>
    <row r="728" spans="3:8" ht="14.25" customHeight="1" x14ac:dyDescent="0.3">
      <c r="C728" s="2"/>
      <c r="E728" s="3"/>
      <c r="G728" s="3"/>
      <c r="H728" s="4"/>
    </row>
    <row r="729" spans="3:8" ht="14.25" customHeight="1" x14ac:dyDescent="0.3">
      <c r="C729" s="2"/>
      <c r="E729" s="3"/>
      <c r="G729" s="3"/>
      <c r="H729" s="4"/>
    </row>
    <row r="730" spans="3:8" ht="14.25" customHeight="1" x14ac:dyDescent="0.3">
      <c r="C730" s="2"/>
      <c r="E730" s="3"/>
      <c r="G730" s="3"/>
      <c r="H730" s="4"/>
    </row>
    <row r="731" spans="3:8" ht="14.25" customHeight="1" x14ac:dyDescent="0.3">
      <c r="C731" s="2"/>
      <c r="E731" s="3"/>
      <c r="G731" s="3"/>
      <c r="H731" s="4"/>
    </row>
    <row r="732" spans="3:8" ht="14.25" customHeight="1" x14ac:dyDescent="0.3">
      <c r="C732" s="2"/>
      <c r="E732" s="3"/>
      <c r="G732" s="3"/>
      <c r="H732" s="4"/>
    </row>
    <row r="733" spans="3:8" ht="14.25" customHeight="1" x14ac:dyDescent="0.3">
      <c r="C733" s="2"/>
      <c r="E733" s="3"/>
      <c r="G733" s="3"/>
      <c r="H733" s="4"/>
    </row>
    <row r="734" spans="3:8" ht="14.25" customHeight="1" x14ac:dyDescent="0.3">
      <c r="C734" s="2"/>
      <c r="E734" s="3"/>
      <c r="G734" s="3"/>
      <c r="H734" s="4"/>
    </row>
    <row r="735" spans="3:8" ht="14.25" customHeight="1" x14ac:dyDescent="0.3">
      <c r="C735" s="2"/>
      <c r="E735" s="3"/>
      <c r="G735" s="3"/>
      <c r="H735" s="4"/>
    </row>
    <row r="736" spans="3:8" ht="14.25" customHeight="1" x14ac:dyDescent="0.3">
      <c r="C736" s="2"/>
      <c r="E736" s="3"/>
      <c r="G736" s="3"/>
      <c r="H736" s="4"/>
    </row>
    <row r="737" spans="3:8" ht="14.25" customHeight="1" x14ac:dyDescent="0.3">
      <c r="C737" s="2"/>
      <c r="E737" s="3"/>
      <c r="G737" s="3"/>
      <c r="H737" s="4"/>
    </row>
    <row r="738" spans="3:8" ht="14.25" customHeight="1" x14ac:dyDescent="0.3">
      <c r="C738" s="2"/>
      <c r="E738" s="3"/>
      <c r="G738" s="3"/>
      <c r="H738" s="4"/>
    </row>
    <row r="739" spans="3:8" ht="14.25" customHeight="1" x14ac:dyDescent="0.3">
      <c r="C739" s="2"/>
      <c r="E739" s="3"/>
      <c r="G739" s="3"/>
      <c r="H739" s="4"/>
    </row>
    <row r="740" spans="3:8" ht="14.25" customHeight="1" x14ac:dyDescent="0.3">
      <c r="C740" s="2"/>
      <c r="E740" s="3"/>
      <c r="G740" s="3"/>
      <c r="H740" s="4"/>
    </row>
    <row r="741" spans="3:8" ht="14.25" customHeight="1" x14ac:dyDescent="0.3">
      <c r="C741" s="2"/>
      <c r="E741" s="3"/>
      <c r="G741" s="3"/>
      <c r="H741" s="4"/>
    </row>
    <row r="742" spans="3:8" ht="14.25" customHeight="1" x14ac:dyDescent="0.3">
      <c r="C742" s="2"/>
      <c r="E742" s="3"/>
      <c r="G742" s="3"/>
      <c r="H742" s="4"/>
    </row>
    <row r="743" spans="3:8" ht="14.25" customHeight="1" x14ac:dyDescent="0.3">
      <c r="C743" s="2"/>
      <c r="E743" s="3"/>
      <c r="G743" s="3"/>
      <c r="H743" s="4"/>
    </row>
    <row r="744" spans="3:8" ht="14.25" customHeight="1" x14ac:dyDescent="0.3">
      <c r="C744" s="2"/>
      <c r="E744" s="3"/>
      <c r="G744" s="3"/>
      <c r="H744" s="4"/>
    </row>
    <row r="745" spans="3:8" ht="14.25" customHeight="1" x14ac:dyDescent="0.3">
      <c r="C745" s="2"/>
      <c r="E745" s="3"/>
      <c r="G745" s="3"/>
      <c r="H745" s="4"/>
    </row>
    <row r="746" spans="3:8" ht="14.25" customHeight="1" x14ac:dyDescent="0.3">
      <c r="C746" s="2"/>
      <c r="E746" s="3"/>
      <c r="G746" s="3"/>
      <c r="H746" s="4"/>
    </row>
    <row r="747" spans="3:8" ht="14.25" customHeight="1" x14ac:dyDescent="0.3">
      <c r="C747" s="2"/>
      <c r="E747" s="3"/>
      <c r="G747" s="3"/>
      <c r="H747" s="4"/>
    </row>
    <row r="748" spans="3:8" ht="14.25" customHeight="1" x14ac:dyDescent="0.3">
      <c r="C748" s="2"/>
      <c r="E748" s="3"/>
      <c r="G748" s="3"/>
      <c r="H748" s="4"/>
    </row>
    <row r="749" spans="3:8" ht="14.25" customHeight="1" x14ac:dyDescent="0.3">
      <c r="C749" s="2"/>
      <c r="E749" s="3"/>
      <c r="G749" s="3"/>
      <c r="H749" s="4"/>
    </row>
    <row r="750" spans="3:8" ht="14.25" customHeight="1" x14ac:dyDescent="0.3">
      <c r="C750" s="2"/>
      <c r="E750" s="3"/>
      <c r="G750" s="3"/>
      <c r="H750" s="4"/>
    </row>
    <row r="751" spans="3:8" ht="14.25" customHeight="1" x14ac:dyDescent="0.3">
      <c r="C751" s="2"/>
      <c r="E751" s="3"/>
      <c r="G751" s="3"/>
      <c r="H751" s="4"/>
    </row>
    <row r="752" spans="3:8" ht="14.25" customHeight="1" x14ac:dyDescent="0.3">
      <c r="C752" s="2"/>
      <c r="E752" s="3"/>
      <c r="G752" s="3"/>
      <c r="H752" s="4"/>
    </row>
    <row r="753" spans="3:8" ht="14.25" customHeight="1" x14ac:dyDescent="0.3">
      <c r="C753" s="2"/>
      <c r="E753" s="3"/>
      <c r="G753" s="3"/>
      <c r="H753" s="4"/>
    </row>
    <row r="754" spans="3:8" ht="14.25" customHeight="1" x14ac:dyDescent="0.3">
      <c r="C754" s="2"/>
      <c r="E754" s="3"/>
      <c r="G754" s="3"/>
      <c r="H754" s="4"/>
    </row>
    <row r="755" spans="3:8" ht="14.25" customHeight="1" x14ac:dyDescent="0.3">
      <c r="C755" s="2"/>
      <c r="E755" s="3"/>
      <c r="G755" s="3"/>
      <c r="H755" s="4"/>
    </row>
    <row r="756" spans="3:8" ht="14.25" customHeight="1" x14ac:dyDescent="0.3">
      <c r="C756" s="2"/>
      <c r="E756" s="3"/>
      <c r="G756" s="3"/>
      <c r="H756" s="4"/>
    </row>
    <row r="757" spans="3:8" ht="14.25" customHeight="1" x14ac:dyDescent="0.3">
      <c r="C757" s="2"/>
      <c r="E757" s="3"/>
      <c r="G757" s="3"/>
      <c r="H757" s="4"/>
    </row>
    <row r="758" spans="3:8" ht="14.25" customHeight="1" x14ac:dyDescent="0.3">
      <c r="C758" s="2"/>
      <c r="E758" s="3"/>
      <c r="G758" s="3"/>
      <c r="H758" s="4"/>
    </row>
    <row r="759" spans="3:8" ht="14.25" customHeight="1" x14ac:dyDescent="0.3">
      <c r="C759" s="2"/>
      <c r="E759" s="3"/>
      <c r="G759" s="3"/>
      <c r="H759" s="4"/>
    </row>
    <row r="760" spans="3:8" ht="14.25" customHeight="1" x14ac:dyDescent="0.3">
      <c r="C760" s="2"/>
      <c r="E760" s="3"/>
      <c r="G760" s="3"/>
      <c r="H760" s="4"/>
    </row>
    <row r="761" spans="3:8" ht="14.25" customHeight="1" x14ac:dyDescent="0.3">
      <c r="C761" s="2"/>
      <c r="E761" s="3"/>
      <c r="G761" s="3"/>
      <c r="H761" s="4"/>
    </row>
    <row r="762" spans="3:8" ht="14.25" customHeight="1" x14ac:dyDescent="0.3">
      <c r="C762" s="2"/>
      <c r="E762" s="3"/>
      <c r="G762" s="3"/>
      <c r="H762" s="4"/>
    </row>
    <row r="763" spans="3:8" ht="14.25" customHeight="1" x14ac:dyDescent="0.3">
      <c r="C763" s="2"/>
      <c r="E763" s="3"/>
      <c r="G763" s="3"/>
      <c r="H763" s="4"/>
    </row>
    <row r="764" spans="3:8" ht="14.25" customHeight="1" x14ac:dyDescent="0.3">
      <c r="C764" s="2"/>
      <c r="E764" s="3"/>
      <c r="G764" s="3"/>
      <c r="H764" s="4"/>
    </row>
    <row r="765" spans="3:8" ht="14.25" customHeight="1" x14ac:dyDescent="0.3">
      <c r="C765" s="2"/>
      <c r="E765" s="3"/>
      <c r="G765" s="3"/>
      <c r="H765" s="4"/>
    </row>
    <row r="766" spans="3:8" ht="14.25" customHeight="1" x14ac:dyDescent="0.3">
      <c r="C766" s="2"/>
      <c r="E766" s="3"/>
      <c r="G766" s="3"/>
      <c r="H766" s="4"/>
    </row>
    <row r="767" spans="3:8" ht="14.25" customHeight="1" x14ac:dyDescent="0.3">
      <c r="C767" s="2"/>
      <c r="E767" s="3"/>
      <c r="G767" s="3"/>
      <c r="H767" s="4"/>
    </row>
    <row r="768" spans="3:8" ht="14.25" customHeight="1" x14ac:dyDescent="0.3">
      <c r="C768" s="2"/>
      <c r="E768" s="3"/>
      <c r="G768" s="3"/>
      <c r="H768" s="4"/>
    </row>
    <row r="769" spans="3:8" ht="14.25" customHeight="1" x14ac:dyDescent="0.3">
      <c r="C769" s="2"/>
      <c r="E769" s="3"/>
      <c r="G769" s="3"/>
      <c r="H769" s="4"/>
    </row>
    <row r="770" spans="3:8" ht="14.25" customHeight="1" x14ac:dyDescent="0.3">
      <c r="C770" s="2"/>
      <c r="E770" s="3"/>
      <c r="G770" s="3"/>
      <c r="H770" s="4"/>
    </row>
    <row r="771" spans="3:8" ht="14.25" customHeight="1" x14ac:dyDescent="0.3">
      <c r="C771" s="2"/>
      <c r="E771" s="3"/>
      <c r="G771" s="3"/>
      <c r="H771" s="4"/>
    </row>
    <row r="772" spans="3:8" ht="14.25" customHeight="1" x14ac:dyDescent="0.3">
      <c r="C772" s="2"/>
      <c r="E772" s="3"/>
      <c r="G772" s="3"/>
      <c r="H772" s="4"/>
    </row>
    <row r="773" spans="3:8" ht="14.25" customHeight="1" x14ac:dyDescent="0.3">
      <c r="C773" s="2"/>
      <c r="E773" s="3"/>
      <c r="G773" s="3"/>
      <c r="H773" s="4"/>
    </row>
    <row r="774" spans="3:8" ht="14.25" customHeight="1" x14ac:dyDescent="0.3">
      <c r="C774" s="2"/>
      <c r="E774" s="3"/>
      <c r="G774" s="3"/>
      <c r="H774" s="4"/>
    </row>
    <row r="775" spans="3:8" ht="14.25" customHeight="1" x14ac:dyDescent="0.3">
      <c r="C775" s="2"/>
      <c r="E775" s="3"/>
      <c r="G775" s="3"/>
      <c r="H775" s="4"/>
    </row>
    <row r="776" spans="3:8" ht="14.25" customHeight="1" x14ac:dyDescent="0.3">
      <c r="C776" s="2"/>
      <c r="E776" s="3"/>
      <c r="G776" s="3"/>
      <c r="H776" s="4"/>
    </row>
    <row r="777" spans="3:8" ht="14.25" customHeight="1" x14ac:dyDescent="0.3">
      <c r="C777" s="2"/>
      <c r="E777" s="3"/>
      <c r="G777" s="3"/>
      <c r="H777" s="4"/>
    </row>
    <row r="778" spans="3:8" ht="14.25" customHeight="1" x14ac:dyDescent="0.3">
      <c r="C778" s="2"/>
      <c r="E778" s="3"/>
      <c r="G778" s="3"/>
      <c r="H778" s="4"/>
    </row>
    <row r="779" spans="3:8" ht="14.25" customHeight="1" x14ac:dyDescent="0.3">
      <c r="C779" s="2"/>
      <c r="E779" s="3"/>
      <c r="G779" s="3"/>
      <c r="H779" s="4"/>
    </row>
    <row r="780" spans="3:8" ht="14.25" customHeight="1" x14ac:dyDescent="0.3">
      <c r="C780" s="2"/>
      <c r="E780" s="3"/>
      <c r="G780" s="3"/>
      <c r="H780" s="4"/>
    </row>
    <row r="781" spans="3:8" ht="14.25" customHeight="1" x14ac:dyDescent="0.3">
      <c r="C781" s="2"/>
      <c r="E781" s="3"/>
      <c r="G781" s="3"/>
      <c r="H781" s="4"/>
    </row>
    <row r="782" spans="3:8" ht="14.25" customHeight="1" x14ac:dyDescent="0.3">
      <c r="C782" s="2"/>
      <c r="E782" s="3"/>
      <c r="G782" s="3"/>
      <c r="H782" s="4"/>
    </row>
    <row r="783" spans="3:8" ht="14.25" customHeight="1" x14ac:dyDescent="0.3">
      <c r="C783" s="2"/>
      <c r="E783" s="3"/>
      <c r="G783" s="3"/>
      <c r="H783" s="4"/>
    </row>
    <row r="784" spans="3:8" ht="14.25" customHeight="1" x14ac:dyDescent="0.3">
      <c r="C784" s="2"/>
      <c r="E784" s="3"/>
      <c r="G784" s="3"/>
      <c r="H784" s="4"/>
    </row>
    <row r="785" spans="3:8" ht="14.25" customHeight="1" x14ac:dyDescent="0.3">
      <c r="C785" s="2"/>
      <c r="E785" s="3"/>
      <c r="G785" s="3"/>
      <c r="H785" s="4"/>
    </row>
    <row r="786" spans="3:8" ht="14.25" customHeight="1" x14ac:dyDescent="0.3">
      <c r="C786" s="2"/>
      <c r="E786" s="3"/>
      <c r="G786" s="3"/>
      <c r="H786" s="4"/>
    </row>
    <row r="787" spans="3:8" ht="14.25" customHeight="1" x14ac:dyDescent="0.3">
      <c r="C787" s="2"/>
      <c r="E787" s="3"/>
      <c r="G787" s="3"/>
      <c r="H787" s="4"/>
    </row>
    <row r="788" spans="3:8" ht="14.25" customHeight="1" x14ac:dyDescent="0.3">
      <c r="C788" s="2"/>
      <c r="E788" s="3"/>
      <c r="G788" s="3"/>
      <c r="H788" s="4"/>
    </row>
    <row r="789" spans="3:8" ht="14.25" customHeight="1" x14ac:dyDescent="0.3">
      <c r="C789" s="2"/>
      <c r="E789" s="3"/>
      <c r="G789" s="3"/>
      <c r="H789" s="4"/>
    </row>
    <row r="790" spans="3:8" ht="14.25" customHeight="1" x14ac:dyDescent="0.3">
      <c r="C790" s="2"/>
      <c r="E790" s="3"/>
      <c r="G790" s="3"/>
      <c r="H790" s="4"/>
    </row>
    <row r="791" spans="3:8" ht="14.25" customHeight="1" x14ac:dyDescent="0.3">
      <c r="C791" s="2"/>
      <c r="E791" s="3"/>
      <c r="G791" s="3"/>
      <c r="H791" s="4"/>
    </row>
    <row r="792" spans="3:8" ht="14.25" customHeight="1" x14ac:dyDescent="0.3">
      <c r="C792" s="2"/>
      <c r="E792" s="3"/>
      <c r="G792" s="3"/>
      <c r="H792" s="4"/>
    </row>
    <row r="793" spans="3:8" ht="14.25" customHeight="1" x14ac:dyDescent="0.3">
      <c r="C793" s="2"/>
      <c r="E793" s="3"/>
      <c r="G793" s="3"/>
      <c r="H793" s="4"/>
    </row>
    <row r="794" spans="3:8" ht="14.25" customHeight="1" x14ac:dyDescent="0.3">
      <c r="C794" s="2"/>
      <c r="E794" s="3"/>
      <c r="G794" s="3"/>
      <c r="H794" s="4"/>
    </row>
    <row r="795" spans="3:8" ht="14.25" customHeight="1" x14ac:dyDescent="0.3">
      <c r="C795" s="2"/>
      <c r="E795" s="3"/>
      <c r="G795" s="3"/>
      <c r="H795" s="4"/>
    </row>
    <row r="796" spans="3:8" ht="14.25" customHeight="1" x14ac:dyDescent="0.3">
      <c r="C796" s="2"/>
      <c r="E796" s="3"/>
      <c r="G796" s="3"/>
      <c r="H796" s="4"/>
    </row>
    <row r="797" spans="3:8" ht="14.25" customHeight="1" x14ac:dyDescent="0.3">
      <c r="C797" s="2"/>
      <c r="E797" s="3"/>
      <c r="G797" s="3"/>
      <c r="H797" s="4"/>
    </row>
    <row r="798" spans="3:8" ht="14.25" customHeight="1" x14ac:dyDescent="0.3">
      <c r="C798" s="2"/>
      <c r="E798" s="3"/>
      <c r="G798" s="3"/>
      <c r="H798" s="4"/>
    </row>
    <row r="799" spans="3:8" ht="14.25" customHeight="1" x14ac:dyDescent="0.3">
      <c r="C799" s="2"/>
      <c r="E799" s="3"/>
      <c r="G799" s="3"/>
      <c r="H799" s="4"/>
    </row>
    <row r="800" spans="3:8" ht="14.25" customHeight="1" x14ac:dyDescent="0.3">
      <c r="C800" s="2"/>
      <c r="E800" s="3"/>
      <c r="G800" s="3"/>
      <c r="H800" s="4"/>
    </row>
    <row r="801" spans="3:8" ht="14.25" customHeight="1" x14ac:dyDescent="0.3">
      <c r="C801" s="2"/>
      <c r="E801" s="3"/>
      <c r="G801" s="3"/>
      <c r="H801" s="4"/>
    </row>
    <row r="802" spans="3:8" ht="14.25" customHeight="1" x14ac:dyDescent="0.3">
      <c r="C802" s="2"/>
      <c r="E802" s="3"/>
      <c r="G802" s="3"/>
      <c r="H802" s="4"/>
    </row>
    <row r="803" spans="3:8" ht="14.25" customHeight="1" x14ac:dyDescent="0.3">
      <c r="C803" s="2"/>
      <c r="E803" s="3"/>
      <c r="G803" s="3"/>
      <c r="H803" s="4"/>
    </row>
    <row r="804" spans="3:8" ht="14.25" customHeight="1" x14ac:dyDescent="0.3">
      <c r="C804" s="2"/>
      <c r="E804" s="3"/>
      <c r="G804" s="3"/>
      <c r="H804" s="4"/>
    </row>
    <row r="805" spans="3:8" ht="14.25" customHeight="1" x14ac:dyDescent="0.3">
      <c r="C805" s="2"/>
      <c r="E805" s="3"/>
      <c r="G805" s="3"/>
      <c r="H805" s="4"/>
    </row>
    <row r="806" spans="3:8" ht="14.25" customHeight="1" x14ac:dyDescent="0.3">
      <c r="C806" s="2"/>
      <c r="E806" s="3"/>
      <c r="G806" s="3"/>
      <c r="H806" s="4"/>
    </row>
    <row r="807" spans="3:8" ht="14.25" customHeight="1" x14ac:dyDescent="0.3">
      <c r="C807" s="2"/>
      <c r="E807" s="3"/>
      <c r="G807" s="3"/>
      <c r="H807" s="4"/>
    </row>
    <row r="808" spans="3:8" ht="14.25" customHeight="1" x14ac:dyDescent="0.3">
      <c r="C808" s="2"/>
      <c r="E808" s="3"/>
      <c r="G808" s="3"/>
      <c r="H808" s="4"/>
    </row>
    <row r="809" spans="3:8" ht="14.25" customHeight="1" x14ac:dyDescent="0.3">
      <c r="C809" s="2"/>
      <c r="E809" s="3"/>
      <c r="G809" s="3"/>
      <c r="H809" s="4"/>
    </row>
    <row r="810" spans="3:8" ht="14.25" customHeight="1" x14ac:dyDescent="0.3">
      <c r="C810" s="2"/>
      <c r="E810" s="3"/>
      <c r="G810" s="3"/>
      <c r="H810" s="4"/>
    </row>
    <row r="811" spans="3:8" ht="14.25" customHeight="1" x14ac:dyDescent="0.3">
      <c r="C811" s="2"/>
      <c r="E811" s="3"/>
      <c r="G811" s="3"/>
      <c r="H811" s="4"/>
    </row>
    <row r="812" spans="3:8" ht="14.25" customHeight="1" x14ac:dyDescent="0.3">
      <c r="C812" s="2"/>
      <c r="E812" s="3"/>
      <c r="G812" s="3"/>
      <c r="H812" s="4"/>
    </row>
    <row r="813" spans="3:8" ht="14.25" customHeight="1" x14ac:dyDescent="0.3">
      <c r="C813" s="2"/>
      <c r="E813" s="3"/>
      <c r="G813" s="3"/>
      <c r="H813" s="4"/>
    </row>
    <row r="814" spans="3:8" ht="14.25" customHeight="1" x14ac:dyDescent="0.3">
      <c r="C814" s="2"/>
      <c r="E814" s="3"/>
      <c r="G814" s="3"/>
      <c r="H814" s="4"/>
    </row>
    <row r="815" spans="3:8" ht="14.25" customHeight="1" x14ac:dyDescent="0.3">
      <c r="C815" s="2"/>
      <c r="E815" s="3"/>
      <c r="G815" s="3"/>
      <c r="H815" s="4"/>
    </row>
    <row r="816" spans="3:8" ht="14.25" customHeight="1" x14ac:dyDescent="0.3">
      <c r="C816" s="2"/>
      <c r="E816" s="3"/>
      <c r="G816" s="3"/>
      <c r="H816" s="4"/>
    </row>
    <row r="817" spans="3:8" ht="14.25" customHeight="1" x14ac:dyDescent="0.3">
      <c r="C817" s="2"/>
      <c r="E817" s="3"/>
      <c r="G817" s="3"/>
      <c r="H817" s="4"/>
    </row>
    <row r="818" spans="3:8" ht="14.25" customHeight="1" x14ac:dyDescent="0.3">
      <c r="C818" s="2"/>
      <c r="E818" s="3"/>
      <c r="G818" s="3"/>
      <c r="H818" s="4"/>
    </row>
    <row r="819" spans="3:8" ht="14.25" customHeight="1" x14ac:dyDescent="0.3">
      <c r="C819" s="2"/>
      <c r="E819" s="3"/>
      <c r="G819" s="3"/>
      <c r="H819" s="4"/>
    </row>
    <row r="820" spans="3:8" ht="14.25" customHeight="1" x14ac:dyDescent="0.3">
      <c r="C820" s="2"/>
      <c r="E820" s="3"/>
      <c r="G820" s="3"/>
      <c r="H820" s="4"/>
    </row>
    <row r="821" spans="3:8" ht="14.25" customHeight="1" x14ac:dyDescent="0.3">
      <c r="C821" s="2"/>
      <c r="E821" s="3"/>
      <c r="G821" s="3"/>
      <c r="H821" s="4"/>
    </row>
    <row r="822" spans="3:8" ht="14.25" customHeight="1" x14ac:dyDescent="0.3">
      <c r="C822" s="2"/>
      <c r="E822" s="3"/>
      <c r="G822" s="3"/>
      <c r="H822" s="4"/>
    </row>
    <row r="823" spans="3:8" ht="14.25" customHeight="1" x14ac:dyDescent="0.3">
      <c r="C823" s="2"/>
      <c r="E823" s="3"/>
      <c r="G823" s="3"/>
      <c r="H823" s="4"/>
    </row>
    <row r="824" spans="3:8" ht="14.25" customHeight="1" x14ac:dyDescent="0.3">
      <c r="C824" s="2"/>
      <c r="E824" s="3"/>
      <c r="G824" s="3"/>
      <c r="H824" s="4"/>
    </row>
    <row r="825" spans="3:8" ht="14.25" customHeight="1" x14ac:dyDescent="0.3">
      <c r="C825" s="2"/>
      <c r="E825" s="3"/>
      <c r="G825" s="3"/>
      <c r="H825" s="4"/>
    </row>
    <row r="826" spans="3:8" ht="14.25" customHeight="1" x14ac:dyDescent="0.3">
      <c r="C826" s="2"/>
      <c r="E826" s="3"/>
      <c r="G826" s="3"/>
      <c r="H826" s="4"/>
    </row>
    <row r="827" spans="3:8" ht="14.25" customHeight="1" x14ac:dyDescent="0.3">
      <c r="C827" s="2"/>
      <c r="E827" s="3"/>
      <c r="G827" s="3"/>
      <c r="H827" s="4"/>
    </row>
    <row r="828" spans="3:8" ht="14.25" customHeight="1" x14ac:dyDescent="0.3">
      <c r="C828" s="2"/>
      <c r="E828" s="3"/>
      <c r="G828" s="3"/>
      <c r="H828" s="4"/>
    </row>
    <row r="829" spans="3:8" ht="14.25" customHeight="1" x14ac:dyDescent="0.3">
      <c r="C829" s="2"/>
      <c r="E829" s="3"/>
      <c r="G829" s="3"/>
      <c r="H829" s="4"/>
    </row>
    <row r="830" spans="3:8" ht="14.25" customHeight="1" x14ac:dyDescent="0.3">
      <c r="C830" s="2"/>
      <c r="E830" s="3"/>
      <c r="G830" s="3"/>
      <c r="H830" s="4"/>
    </row>
    <row r="831" spans="3:8" ht="14.25" customHeight="1" x14ac:dyDescent="0.3">
      <c r="C831" s="2"/>
      <c r="E831" s="3"/>
      <c r="G831" s="3"/>
      <c r="H831" s="4"/>
    </row>
    <row r="832" spans="3:8" ht="14.25" customHeight="1" x14ac:dyDescent="0.3">
      <c r="C832" s="2"/>
      <c r="E832" s="3"/>
      <c r="G832" s="3"/>
      <c r="H832" s="4"/>
    </row>
    <row r="833" spans="3:8" ht="14.25" customHeight="1" x14ac:dyDescent="0.3">
      <c r="C833" s="2"/>
      <c r="E833" s="3"/>
      <c r="G833" s="3"/>
      <c r="H833" s="4"/>
    </row>
    <row r="834" spans="3:8" ht="14.25" customHeight="1" x14ac:dyDescent="0.3">
      <c r="C834" s="2"/>
      <c r="E834" s="3"/>
      <c r="G834" s="3"/>
      <c r="H834" s="4"/>
    </row>
    <row r="835" spans="3:8" ht="14.25" customHeight="1" x14ac:dyDescent="0.3">
      <c r="C835" s="2"/>
      <c r="E835" s="3"/>
      <c r="G835" s="3"/>
      <c r="H835" s="4"/>
    </row>
    <row r="836" spans="3:8" ht="14.25" customHeight="1" x14ac:dyDescent="0.3">
      <c r="C836" s="2"/>
      <c r="E836" s="3"/>
      <c r="G836" s="3"/>
      <c r="H836" s="4"/>
    </row>
    <row r="837" spans="3:8" ht="14.25" customHeight="1" x14ac:dyDescent="0.3">
      <c r="C837" s="2"/>
      <c r="E837" s="3"/>
      <c r="G837" s="3"/>
      <c r="H837" s="4"/>
    </row>
    <row r="838" spans="3:8" ht="14.25" customHeight="1" x14ac:dyDescent="0.3">
      <c r="C838" s="2"/>
      <c r="E838" s="3"/>
      <c r="G838" s="3"/>
      <c r="H838" s="4"/>
    </row>
    <row r="839" spans="3:8" ht="14.25" customHeight="1" x14ac:dyDescent="0.3">
      <c r="C839" s="2"/>
      <c r="E839" s="3"/>
      <c r="G839" s="3"/>
      <c r="H839" s="4"/>
    </row>
    <row r="840" spans="3:8" ht="14.25" customHeight="1" x14ac:dyDescent="0.3">
      <c r="C840" s="2"/>
      <c r="E840" s="3"/>
      <c r="G840" s="3"/>
      <c r="H840" s="4"/>
    </row>
    <row r="841" spans="3:8" ht="14.25" customHeight="1" x14ac:dyDescent="0.3">
      <c r="C841" s="2"/>
      <c r="E841" s="3"/>
      <c r="G841" s="3"/>
      <c r="H841" s="4"/>
    </row>
    <row r="842" spans="3:8" ht="14.25" customHeight="1" x14ac:dyDescent="0.3">
      <c r="C842" s="2"/>
      <c r="E842" s="3"/>
      <c r="G842" s="3"/>
      <c r="H842" s="4"/>
    </row>
    <row r="843" spans="3:8" ht="14.25" customHeight="1" x14ac:dyDescent="0.3">
      <c r="C843" s="2"/>
      <c r="E843" s="3"/>
      <c r="G843" s="3"/>
      <c r="H843" s="4"/>
    </row>
    <row r="844" spans="3:8" ht="14.25" customHeight="1" x14ac:dyDescent="0.3">
      <c r="C844" s="2"/>
      <c r="E844" s="3"/>
      <c r="G844" s="3"/>
      <c r="H844" s="4"/>
    </row>
    <row r="845" spans="3:8" ht="14.25" customHeight="1" x14ac:dyDescent="0.3">
      <c r="C845" s="2"/>
      <c r="E845" s="3"/>
      <c r="G845" s="3"/>
      <c r="H845" s="4"/>
    </row>
    <row r="846" spans="3:8" ht="14.25" customHeight="1" x14ac:dyDescent="0.3">
      <c r="C846" s="2"/>
      <c r="E846" s="3"/>
      <c r="G846" s="3"/>
      <c r="H846" s="4"/>
    </row>
    <row r="847" spans="3:8" ht="14.25" customHeight="1" x14ac:dyDescent="0.3">
      <c r="C847" s="2"/>
      <c r="E847" s="3"/>
      <c r="G847" s="3"/>
      <c r="H847" s="4"/>
    </row>
    <row r="848" spans="3:8" ht="14.25" customHeight="1" x14ac:dyDescent="0.3">
      <c r="C848" s="2"/>
      <c r="E848" s="3"/>
      <c r="G848" s="3"/>
      <c r="H848" s="4"/>
    </row>
    <row r="849" spans="3:8" ht="14.25" customHeight="1" x14ac:dyDescent="0.3">
      <c r="C849" s="2"/>
      <c r="E849" s="3"/>
      <c r="G849" s="3"/>
      <c r="H849" s="4"/>
    </row>
    <row r="850" spans="3:8" ht="14.25" customHeight="1" x14ac:dyDescent="0.3">
      <c r="C850" s="2"/>
      <c r="E850" s="3"/>
      <c r="G850" s="3"/>
      <c r="H850" s="4"/>
    </row>
    <row r="851" spans="3:8" ht="14.25" customHeight="1" x14ac:dyDescent="0.3">
      <c r="C851" s="2"/>
      <c r="E851" s="3"/>
      <c r="G851" s="3"/>
      <c r="H851" s="4"/>
    </row>
    <row r="852" spans="3:8" ht="14.25" customHeight="1" x14ac:dyDescent="0.3">
      <c r="C852" s="2"/>
      <c r="E852" s="3"/>
      <c r="G852" s="3"/>
      <c r="H852" s="4"/>
    </row>
    <row r="853" spans="3:8" ht="14.25" customHeight="1" x14ac:dyDescent="0.3">
      <c r="C853" s="2"/>
      <c r="E853" s="3"/>
      <c r="G853" s="3"/>
      <c r="H853" s="4"/>
    </row>
    <row r="854" spans="3:8" ht="14.25" customHeight="1" x14ac:dyDescent="0.3">
      <c r="C854" s="2"/>
      <c r="E854" s="3"/>
      <c r="G854" s="3"/>
      <c r="H854" s="4"/>
    </row>
    <row r="855" spans="3:8" ht="14.25" customHeight="1" x14ac:dyDescent="0.3">
      <c r="C855" s="2"/>
      <c r="E855" s="3"/>
      <c r="G855" s="3"/>
      <c r="H855" s="4"/>
    </row>
    <row r="856" spans="3:8" ht="14.25" customHeight="1" x14ac:dyDescent="0.3">
      <c r="C856" s="2"/>
      <c r="E856" s="3"/>
      <c r="G856" s="3"/>
      <c r="H856" s="4"/>
    </row>
    <row r="857" spans="3:8" ht="14.25" customHeight="1" x14ac:dyDescent="0.3">
      <c r="C857" s="2"/>
      <c r="E857" s="3"/>
      <c r="G857" s="3"/>
      <c r="H857" s="4"/>
    </row>
    <row r="858" spans="3:8" ht="14.25" customHeight="1" x14ac:dyDescent="0.3">
      <c r="C858" s="2"/>
      <c r="E858" s="3"/>
      <c r="G858" s="3"/>
      <c r="H858" s="4"/>
    </row>
    <row r="859" spans="3:8" ht="14.25" customHeight="1" x14ac:dyDescent="0.3">
      <c r="C859" s="2"/>
      <c r="E859" s="3"/>
      <c r="G859" s="3"/>
      <c r="H859" s="4"/>
    </row>
    <row r="860" spans="3:8" ht="14.25" customHeight="1" x14ac:dyDescent="0.3">
      <c r="C860" s="2"/>
      <c r="E860" s="3"/>
      <c r="G860" s="3"/>
      <c r="H860" s="4"/>
    </row>
    <row r="861" spans="3:8" ht="14.25" customHeight="1" x14ac:dyDescent="0.3">
      <c r="C861" s="2"/>
      <c r="E861" s="3"/>
      <c r="G861" s="3"/>
      <c r="H861" s="4"/>
    </row>
    <row r="862" spans="3:8" ht="14.25" customHeight="1" x14ac:dyDescent="0.3">
      <c r="C862" s="2"/>
      <c r="E862" s="3"/>
      <c r="G862" s="3"/>
      <c r="H862" s="4"/>
    </row>
    <row r="863" spans="3:8" ht="14.25" customHeight="1" x14ac:dyDescent="0.3">
      <c r="C863" s="2"/>
      <c r="E863" s="3"/>
      <c r="G863" s="3"/>
      <c r="H863" s="4"/>
    </row>
    <row r="864" spans="3:8" ht="14.25" customHeight="1" x14ac:dyDescent="0.3">
      <c r="C864" s="2"/>
      <c r="E864" s="3"/>
      <c r="G864" s="3"/>
      <c r="H864" s="4"/>
    </row>
    <row r="865" spans="3:8" ht="14.25" customHeight="1" x14ac:dyDescent="0.3">
      <c r="C865" s="2"/>
      <c r="E865" s="3"/>
      <c r="G865" s="3"/>
      <c r="H865" s="4"/>
    </row>
    <row r="866" spans="3:8" ht="14.25" customHeight="1" x14ac:dyDescent="0.3">
      <c r="C866" s="2"/>
      <c r="E866" s="3"/>
      <c r="G866" s="3"/>
      <c r="H866" s="4"/>
    </row>
    <row r="867" spans="3:8" ht="14.25" customHeight="1" x14ac:dyDescent="0.3">
      <c r="C867" s="2"/>
      <c r="E867" s="3"/>
      <c r="G867" s="3"/>
      <c r="H867" s="4"/>
    </row>
    <row r="868" spans="3:8" ht="14.25" customHeight="1" x14ac:dyDescent="0.3">
      <c r="C868" s="2"/>
      <c r="E868" s="3"/>
      <c r="G868" s="3"/>
      <c r="H868" s="4"/>
    </row>
    <row r="869" spans="3:8" ht="14.25" customHeight="1" x14ac:dyDescent="0.3">
      <c r="C869" s="2"/>
      <c r="E869" s="3"/>
      <c r="G869" s="3"/>
      <c r="H869" s="4"/>
    </row>
    <row r="870" spans="3:8" ht="14.25" customHeight="1" x14ac:dyDescent="0.3">
      <c r="C870" s="2"/>
      <c r="E870" s="3"/>
      <c r="G870" s="3"/>
      <c r="H870" s="4"/>
    </row>
    <row r="871" spans="3:8" ht="14.25" customHeight="1" x14ac:dyDescent="0.3">
      <c r="C871" s="2"/>
      <c r="E871" s="3"/>
      <c r="G871" s="3"/>
      <c r="H871" s="4"/>
    </row>
    <row r="872" spans="3:8" ht="14.25" customHeight="1" x14ac:dyDescent="0.3">
      <c r="C872" s="2"/>
      <c r="E872" s="3"/>
      <c r="G872" s="3"/>
      <c r="H872" s="4"/>
    </row>
    <row r="873" spans="3:8" ht="14.25" customHeight="1" x14ac:dyDescent="0.3">
      <c r="C873" s="2"/>
      <c r="E873" s="3"/>
      <c r="G873" s="3"/>
      <c r="H873" s="4"/>
    </row>
    <row r="874" spans="3:8" ht="14.25" customHeight="1" x14ac:dyDescent="0.3">
      <c r="C874" s="2"/>
      <c r="E874" s="3"/>
      <c r="G874" s="3"/>
      <c r="H874" s="4"/>
    </row>
    <row r="875" spans="3:8" ht="14.25" customHeight="1" x14ac:dyDescent="0.3">
      <c r="C875" s="2"/>
      <c r="E875" s="3"/>
      <c r="G875" s="3"/>
      <c r="H875" s="4"/>
    </row>
    <row r="876" spans="3:8" ht="14.25" customHeight="1" x14ac:dyDescent="0.3">
      <c r="C876" s="2"/>
      <c r="E876" s="3"/>
      <c r="G876" s="3"/>
      <c r="H876" s="4"/>
    </row>
    <row r="877" spans="3:8" ht="14.25" customHeight="1" x14ac:dyDescent="0.3">
      <c r="C877" s="2"/>
      <c r="E877" s="3"/>
      <c r="G877" s="3"/>
      <c r="H877" s="4"/>
    </row>
    <row r="878" spans="3:8" ht="14.25" customHeight="1" x14ac:dyDescent="0.3">
      <c r="C878" s="2"/>
      <c r="E878" s="3"/>
      <c r="G878" s="3"/>
      <c r="H878" s="4"/>
    </row>
    <row r="879" spans="3:8" ht="14.25" customHeight="1" x14ac:dyDescent="0.3">
      <c r="C879" s="2"/>
      <c r="E879" s="3"/>
      <c r="G879" s="3"/>
      <c r="H879" s="4"/>
    </row>
    <row r="880" spans="3:8" ht="14.25" customHeight="1" x14ac:dyDescent="0.3">
      <c r="C880" s="2"/>
      <c r="E880" s="3"/>
      <c r="G880" s="3"/>
      <c r="H880" s="4"/>
    </row>
    <row r="881" spans="3:8" ht="14.25" customHeight="1" x14ac:dyDescent="0.3">
      <c r="C881" s="2"/>
      <c r="E881" s="3"/>
      <c r="G881" s="3"/>
      <c r="H881" s="4"/>
    </row>
    <row r="882" spans="3:8" ht="14.25" customHeight="1" x14ac:dyDescent="0.3">
      <c r="C882" s="2"/>
      <c r="E882" s="3"/>
      <c r="G882" s="3"/>
      <c r="H882" s="4"/>
    </row>
    <row r="883" spans="3:8" ht="14.25" customHeight="1" x14ac:dyDescent="0.3">
      <c r="C883" s="2"/>
      <c r="E883" s="3"/>
      <c r="G883" s="3"/>
      <c r="H883" s="4"/>
    </row>
    <row r="884" spans="3:8" ht="14.25" customHeight="1" x14ac:dyDescent="0.3">
      <c r="C884" s="2"/>
      <c r="E884" s="3"/>
      <c r="G884" s="3"/>
      <c r="H884" s="4"/>
    </row>
    <row r="885" spans="3:8" ht="14.25" customHeight="1" x14ac:dyDescent="0.3">
      <c r="C885" s="2"/>
      <c r="E885" s="3"/>
      <c r="G885" s="3"/>
      <c r="H885" s="4"/>
    </row>
    <row r="886" spans="3:8" ht="14.25" customHeight="1" x14ac:dyDescent="0.3">
      <c r="C886" s="2"/>
      <c r="E886" s="3"/>
      <c r="G886" s="3"/>
      <c r="H886" s="4"/>
    </row>
    <row r="887" spans="3:8" ht="14.25" customHeight="1" x14ac:dyDescent="0.3">
      <c r="C887" s="2"/>
      <c r="E887" s="3"/>
      <c r="G887" s="3"/>
      <c r="H887" s="4"/>
    </row>
    <row r="888" spans="3:8" ht="14.25" customHeight="1" x14ac:dyDescent="0.3">
      <c r="C888" s="2"/>
      <c r="E888" s="3"/>
      <c r="G888" s="3"/>
      <c r="H888" s="4"/>
    </row>
    <row r="889" spans="3:8" ht="14.25" customHeight="1" x14ac:dyDescent="0.3">
      <c r="C889" s="2"/>
      <c r="E889" s="3"/>
      <c r="G889" s="3"/>
      <c r="H889" s="4"/>
    </row>
    <row r="890" spans="3:8" ht="14.25" customHeight="1" x14ac:dyDescent="0.3">
      <c r="C890" s="2"/>
      <c r="E890" s="3"/>
      <c r="G890" s="3"/>
      <c r="H890" s="4"/>
    </row>
    <row r="891" spans="3:8" ht="14.25" customHeight="1" x14ac:dyDescent="0.3">
      <c r="C891" s="2"/>
      <c r="E891" s="3"/>
      <c r="G891" s="3"/>
      <c r="H891" s="4"/>
    </row>
    <row r="892" spans="3:8" ht="14.25" customHeight="1" x14ac:dyDescent="0.3">
      <c r="C892" s="2"/>
      <c r="E892" s="3"/>
      <c r="G892" s="3"/>
      <c r="H892" s="4"/>
    </row>
    <row r="893" spans="3:8" ht="14.25" customHeight="1" x14ac:dyDescent="0.3">
      <c r="C893" s="2"/>
      <c r="E893" s="3"/>
      <c r="G893" s="3"/>
      <c r="H893" s="4"/>
    </row>
    <row r="894" spans="3:8" ht="14.25" customHeight="1" x14ac:dyDescent="0.3">
      <c r="C894" s="2"/>
      <c r="E894" s="3"/>
      <c r="G894" s="3"/>
      <c r="H894" s="4"/>
    </row>
    <row r="895" spans="3:8" ht="14.25" customHeight="1" x14ac:dyDescent="0.3">
      <c r="C895" s="2"/>
      <c r="E895" s="3"/>
      <c r="G895" s="3"/>
      <c r="H895" s="4"/>
    </row>
    <row r="896" spans="3:8" ht="14.25" customHeight="1" x14ac:dyDescent="0.3">
      <c r="C896" s="2"/>
      <c r="E896" s="3"/>
      <c r="G896" s="3"/>
      <c r="H896" s="4"/>
    </row>
    <row r="897" spans="3:8" ht="14.25" customHeight="1" x14ac:dyDescent="0.3">
      <c r="C897" s="2"/>
      <c r="E897" s="3"/>
      <c r="G897" s="3"/>
      <c r="H897" s="4"/>
    </row>
    <row r="898" spans="3:8" ht="14.25" customHeight="1" x14ac:dyDescent="0.3">
      <c r="C898" s="2"/>
      <c r="E898" s="3"/>
      <c r="G898" s="3"/>
      <c r="H898" s="4"/>
    </row>
    <row r="899" spans="3:8" ht="14.25" customHeight="1" x14ac:dyDescent="0.3">
      <c r="C899" s="2"/>
      <c r="E899" s="3"/>
      <c r="G899" s="3"/>
      <c r="H899" s="4"/>
    </row>
    <row r="900" spans="3:8" ht="14.25" customHeight="1" x14ac:dyDescent="0.3">
      <c r="C900" s="2"/>
      <c r="E900" s="3"/>
      <c r="G900" s="3"/>
      <c r="H900" s="4"/>
    </row>
    <row r="901" spans="3:8" ht="14.25" customHeight="1" x14ac:dyDescent="0.3">
      <c r="C901" s="2"/>
      <c r="E901" s="3"/>
      <c r="G901" s="3"/>
      <c r="H901" s="4"/>
    </row>
    <row r="902" spans="3:8" ht="14.25" customHeight="1" x14ac:dyDescent="0.3">
      <c r="C902" s="2"/>
      <c r="E902" s="3"/>
      <c r="G902" s="3"/>
      <c r="H902" s="4"/>
    </row>
    <row r="903" spans="3:8" ht="14.25" customHeight="1" x14ac:dyDescent="0.3">
      <c r="C903" s="2"/>
      <c r="E903" s="3"/>
      <c r="G903" s="3"/>
      <c r="H903" s="4"/>
    </row>
    <row r="904" spans="3:8" ht="14.25" customHeight="1" x14ac:dyDescent="0.3">
      <c r="C904" s="2"/>
      <c r="E904" s="3"/>
      <c r="G904" s="3"/>
      <c r="H904" s="4"/>
    </row>
    <row r="905" spans="3:8" ht="14.25" customHeight="1" x14ac:dyDescent="0.3">
      <c r="C905" s="2"/>
      <c r="E905" s="3"/>
      <c r="G905" s="3"/>
      <c r="H905" s="4"/>
    </row>
    <row r="906" spans="3:8" ht="14.25" customHeight="1" x14ac:dyDescent="0.3">
      <c r="C906" s="2"/>
      <c r="E906" s="3"/>
      <c r="G906" s="3"/>
      <c r="H906" s="4"/>
    </row>
    <row r="907" spans="3:8" ht="14.25" customHeight="1" x14ac:dyDescent="0.3">
      <c r="C907" s="2"/>
      <c r="E907" s="3"/>
      <c r="G907" s="3"/>
      <c r="H907" s="4"/>
    </row>
    <row r="908" spans="3:8" ht="14.25" customHeight="1" x14ac:dyDescent="0.3">
      <c r="C908" s="2"/>
      <c r="E908" s="3"/>
      <c r="G908" s="3"/>
      <c r="H908" s="4"/>
    </row>
    <row r="909" spans="3:8" ht="14.25" customHeight="1" x14ac:dyDescent="0.3">
      <c r="C909" s="2"/>
      <c r="E909" s="3"/>
      <c r="G909" s="3"/>
      <c r="H909" s="4"/>
    </row>
    <row r="910" spans="3:8" ht="14.25" customHeight="1" x14ac:dyDescent="0.3">
      <c r="C910" s="2"/>
      <c r="E910" s="3"/>
      <c r="G910" s="3"/>
      <c r="H910" s="4"/>
    </row>
    <row r="911" spans="3:8" ht="14.25" customHeight="1" x14ac:dyDescent="0.3">
      <c r="C911" s="2"/>
      <c r="E911" s="3"/>
      <c r="G911" s="3"/>
      <c r="H911" s="4"/>
    </row>
    <row r="912" spans="3:8" ht="14.25" customHeight="1" x14ac:dyDescent="0.3">
      <c r="C912" s="2"/>
      <c r="E912" s="3"/>
      <c r="G912" s="3"/>
      <c r="H912" s="4"/>
    </row>
    <row r="913" spans="3:8" ht="14.25" customHeight="1" x14ac:dyDescent="0.3">
      <c r="C913" s="2"/>
      <c r="E913" s="3"/>
      <c r="G913" s="3"/>
      <c r="H913" s="4"/>
    </row>
    <row r="914" spans="3:8" ht="14.25" customHeight="1" x14ac:dyDescent="0.3">
      <c r="C914" s="2"/>
      <c r="E914" s="3"/>
      <c r="G914" s="3"/>
      <c r="H914" s="4"/>
    </row>
    <row r="915" spans="3:8" ht="14.25" customHeight="1" x14ac:dyDescent="0.3">
      <c r="C915" s="2"/>
      <c r="E915" s="3"/>
      <c r="G915" s="3"/>
      <c r="H915" s="4"/>
    </row>
    <row r="916" spans="3:8" ht="14.25" customHeight="1" x14ac:dyDescent="0.3">
      <c r="C916" s="2"/>
      <c r="E916" s="3"/>
      <c r="G916" s="3"/>
      <c r="H916" s="4"/>
    </row>
    <row r="917" spans="3:8" ht="14.25" customHeight="1" x14ac:dyDescent="0.3">
      <c r="C917" s="2"/>
      <c r="E917" s="3"/>
      <c r="G917" s="3"/>
      <c r="H917" s="4"/>
    </row>
    <row r="918" spans="3:8" ht="14.25" customHeight="1" x14ac:dyDescent="0.3">
      <c r="C918" s="2"/>
      <c r="E918" s="3"/>
      <c r="G918" s="3"/>
      <c r="H918" s="4"/>
    </row>
    <row r="919" spans="3:8" ht="14.25" customHeight="1" x14ac:dyDescent="0.3">
      <c r="C919" s="2"/>
      <c r="E919" s="3"/>
      <c r="G919" s="3"/>
      <c r="H919" s="4"/>
    </row>
    <row r="920" spans="3:8" ht="14.25" customHeight="1" x14ac:dyDescent="0.3">
      <c r="C920" s="2"/>
      <c r="E920" s="3"/>
      <c r="G920" s="3"/>
      <c r="H920" s="4"/>
    </row>
    <row r="921" spans="3:8" ht="14.25" customHeight="1" x14ac:dyDescent="0.3">
      <c r="C921" s="2"/>
      <c r="E921" s="3"/>
      <c r="G921" s="3"/>
      <c r="H921" s="4"/>
    </row>
    <row r="922" spans="3:8" ht="14.25" customHeight="1" x14ac:dyDescent="0.3">
      <c r="C922" s="2"/>
      <c r="E922" s="3"/>
      <c r="G922" s="3"/>
      <c r="H922" s="4"/>
    </row>
    <row r="923" spans="3:8" ht="14.25" customHeight="1" x14ac:dyDescent="0.3">
      <c r="C923" s="2"/>
      <c r="E923" s="3"/>
      <c r="G923" s="3"/>
      <c r="H923" s="4"/>
    </row>
    <row r="924" spans="3:8" ht="14.25" customHeight="1" x14ac:dyDescent="0.3">
      <c r="C924" s="2"/>
      <c r="E924" s="3"/>
      <c r="G924" s="3"/>
      <c r="H924" s="4"/>
    </row>
    <row r="925" spans="3:8" ht="14.25" customHeight="1" x14ac:dyDescent="0.3">
      <c r="C925" s="2"/>
      <c r="E925" s="3"/>
      <c r="G925" s="3"/>
      <c r="H925" s="4"/>
    </row>
    <row r="926" spans="3:8" ht="14.25" customHeight="1" x14ac:dyDescent="0.3">
      <c r="C926" s="2"/>
      <c r="E926" s="3"/>
      <c r="G926" s="3"/>
      <c r="H926" s="4"/>
    </row>
    <row r="927" spans="3:8" ht="14.25" customHeight="1" x14ac:dyDescent="0.3">
      <c r="C927" s="2"/>
      <c r="E927" s="3"/>
      <c r="G927" s="3"/>
      <c r="H927" s="4"/>
    </row>
    <row r="928" spans="3:8" ht="14.25" customHeight="1" x14ac:dyDescent="0.3">
      <c r="C928" s="2"/>
      <c r="E928" s="3"/>
      <c r="G928" s="3"/>
      <c r="H928" s="4"/>
    </row>
    <row r="929" spans="3:8" ht="14.25" customHeight="1" x14ac:dyDescent="0.3">
      <c r="C929" s="2"/>
      <c r="E929" s="3"/>
      <c r="G929" s="3"/>
      <c r="H929" s="4"/>
    </row>
    <row r="930" spans="3:8" ht="14.25" customHeight="1" x14ac:dyDescent="0.3">
      <c r="C930" s="2"/>
      <c r="E930" s="3"/>
      <c r="G930" s="3"/>
      <c r="H930" s="4"/>
    </row>
    <row r="931" spans="3:8" ht="14.25" customHeight="1" x14ac:dyDescent="0.3">
      <c r="C931" s="2"/>
      <c r="E931" s="3"/>
      <c r="G931" s="3"/>
      <c r="H931" s="4"/>
    </row>
    <row r="932" spans="3:8" ht="14.25" customHeight="1" x14ac:dyDescent="0.3">
      <c r="C932" s="2"/>
      <c r="E932" s="3"/>
      <c r="G932" s="3"/>
      <c r="H932" s="4"/>
    </row>
    <row r="933" spans="3:8" ht="14.25" customHeight="1" x14ac:dyDescent="0.3">
      <c r="C933" s="2"/>
      <c r="E933" s="3"/>
      <c r="G933" s="3"/>
      <c r="H933" s="4"/>
    </row>
    <row r="934" spans="3:8" ht="14.25" customHeight="1" x14ac:dyDescent="0.3">
      <c r="C934" s="2"/>
      <c r="E934" s="3"/>
      <c r="G934" s="3"/>
      <c r="H934" s="4"/>
    </row>
    <row r="935" spans="3:8" ht="14.25" customHeight="1" x14ac:dyDescent="0.3">
      <c r="C935" s="2"/>
      <c r="E935" s="3"/>
      <c r="G935" s="3"/>
      <c r="H935" s="4"/>
    </row>
    <row r="936" spans="3:8" ht="14.25" customHeight="1" x14ac:dyDescent="0.3">
      <c r="C936" s="2"/>
      <c r="E936" s="3"/>
      <c r="G936" s="3"/>
      <c r="H936" s="4"/>
    </row>
    <row r="937" spans="3:8" ht="14.25" customHeight="1" x14ac:dyDescent="0.3">
      <c r="C937" s="2"/>
      <c r="E937" s="3"/>
      <c r="G937" s="3"/>
      <c r="H937" s="4"/>
    </row>
    <row r="938" spans="3:8" ht="14.25" customHeight="1" x14ac:dyDescent="0.3">
      <c r="C938" s="2"/>
      <c r="E938" s="3"/>
      <c r="G938" s="3"/>
      <c r="H938" s="4"/>
    </row>
    <row r="939" spans="3:8" ht="14.25" customHeight="1" x14ac:dyDescent="0.3">
      <c r="C939" s="2"/>
      <c r="E939" s="3"/>
      <c r="G939" s="3"/>
      <c r="H939" s="4"/>
    </row>
    <row r="940" spans="3:8" ht="14.25" customHeight="1" x14ac:dyDescent="0.3">
      <c r="C940" s="2"/>
      <c r="E940" s="3"/>
      <c r="G940" s="3"/>
      <c r="H940" s="4"/>
    </row>
    <row r="941" spans="3:8" ht="14.25" customHeight="1" x14ac:dyDescent="0.3">
      <c r="C941" s="2"/>
      <c r="E941" s="3"/>
      <c r="G941" s="3"/>
      <c r="H941" s="4"/>
    </row>
    <row r="942" spans="3:8" ht="14.25" customHeight="1" x14ac:dyDescent="0.3">
      <c r="C942" s="2"/>
      <c r="E942" s="3"/>
      <c r="G942" s="3"/>
      <c r="H942" s="4"/>
    </row>
    <row r="943" spans="3:8" ht="14.25" customHeight="1" x14ac:dyDescent="0.3">
      <c r="C943" s="2"/>
      <c r="E943" s="3"/>
      <c r="G943" s="3"/>
      <c r="H943" s="4"/>
    </row>
    <row r="944" spans="3:8" ht="14.25" customHeight="1" x14ac:dyDescent="0.3">
      <c r="C944" s="2"/>
      <c r="E944" s="3"/>
      <c r="G944" s="3"/>
      <c r="H944" s="4"/>
    </row>
    <row r="945" spans="3:8" ht="14.25" customHeight="1" x14ac:dyDescent="0.3">
      <c r="C945" s="2"/>
      <c r="E945" s="3"/>
      <c r="G945" s="3"/>
      <c r="H945" s="4"/>
    </row>
    <row r="946" spans="3:8" ht="14.25" customHeight="1" x14ac:dyDescent="0.3">
      <c r="C946" s="2"/>
      <c r="E946" s="3"/>
      <c r="G946" s="3"/>
      <c r="H946" s="4"/>
    </row>
    <row r="947" spans="3:8" ht="14.25" customHeight="1" x14ac:dyDescent="0.3">
      <c r="C947" s="2"/>
      <c r="E947" s="3"/>
      <c r="G947" s="3"/>
      <c r="H947" s="4"/>
    </row>
    <row r="948" spans="3:8" ht="14.25" customHeight="1" x14ac:dyDescent="0.3">
      <c r="C948" s="2"/>
      <c r="E948" s="3"/>
      <c r="G948" s="3"/>
      <c r="H948" s="4"/>
    </row>
    <row r="949" spans="3:8" ht="14.25" customHeight="1" x14ac:dyDescent="0.3">
      <c r="C949" s="2"/>
      <c r="E949" s="3"/>
      <c r="G949" s="3"/>
      <c r="H949" s="4"/>
    </row>
    <row r="950" spans="3:8" ht="14.25" customHeight="1" x14ac:dyDescent="0.3">
      <c r="C950" s="2"/>
      <c r="E950" s="3"/>
      <c r="G950" s="3"/>
      <c r="H950" s="4"/>
    </row>
    <row r="951" spans="3:8" ht="14.25" customHeight="1" x14ac:dyDescent="0.3">
      <c r="C951" s="2"/>
      <c r="E951" s="3"/>
      <c r="G951" s="3"/>
      <c r="H951" s="4"/>
    </row>
    <row r="952" spans="3:8" ht="14.25" customHeight="1" x14ac:dyDescent="0.3">
      <c r="C952" s="2"/>
      <c r="E952" s="3"/>
      <c r="G952" s="3"/>
      <c r="H952" s="4"/>
    </row>
    <row r="953" spans="3:8" ht="14.25" customHeight="1" x14ac:dyDescent="0.3">
      <c r="C953" s="2"/>
      <c r="E953" s="3"/>
      <c r="G953" s="3"/>
      <c r="H953" s="4"/>
    </row>
    <row r="954" spans="3:8" ht="14.25" customHeight="1" x14ac:dyDescent="0.3">
      <c r="C954" s="2"/>
      <c r="E954" s="3"/>
      <c r="G954" s="3"/>
      <c r="H954" s="4"/>
    </row>
    <row r="955" spans="3:8" ht="14.25" customHeight="1" x14ac:dyDescent="0.3">
      <c r="C955" s="2"/>
      <c r="E955" s="3"/>
      <c r="G955" s="3"/>
      <c r="H955" s="4"/>
    </row>
    <row r="956" spans="3:8" ht="14.25" customHeight="1" x14ac:dyDescent="0.3">
      <c r="C956" s="2"/>
      <c r="E956" s="3"/>
      <c r="G956" s="3"/>
      <c r="H956" s="4"/>
    </row>
    <row r="957" spans="3:8" ht="14.25" customHeight="1" x14ac:dyDescent="0.3">
      <c r="C957" s="2"/>
      <c r="E957" s="3"/>
      <c r="G957" s="3"/>
      <c r="H957" s="4"/>
    </row>
    <row r="958" spans="3:8" ht="14.25" customHeight="1" x14ac:dyDescent="0.3">
      <c r="C958" s="2"/>
      <c r="E958" s="3"/>
      <c r="G958" s="3"/>
      <c r="H958" s="4"/>
    </row>
    <row r="959" spans="3:8" ht="14.25" customHeight="1" x14ac:dyDescent="0.3">
      <c r="C959" s="2"/>
      <c r="E959" s="3"/>
      <c r="G959" s="3"/>
      <c r="H959" s="4"/>
    </row>
    <row r="960" spans="3:8" ht="14.25" customHeight="1" x14ac:dyDescent="0.3">
      <c r="C960" s="2"/>
      <c r="E960" s="3"/>
      <c r="G960" s="3"/>
      <c r="H960" s="4"/>
    </row>
    <row r="961" spans="3:8" ht="14.25" customHeight="1" x14ac:dyDescent="0.3">
      <c r="C961" s="2"/>
      <c r="E961" s="3"/>
      <c r="G961" s="3"/>
      <c r="H961" s="4"/>
    </row>
    <row r="962" spans="3:8" ht="14.25" customHeight="1" x14ac:dyDescent="0.3">
      <c r="C962" s="2"/>
      <c r="E962" s="3"/>
      <c r="G962" s="3"/>
      <c r="H962" s="4"/>
    </row>
    <row r="963" spans="3:8" ht="14.25" customHeight="1" x14ac:dyDescent="0.3">
      <c r="C963" s="2"/>
      <c r="E963" s="3"/>
      <c r="G963" s="3"/>
      <c r="H963" s="4"/>
    </row>
    <row r="964" spans="3:8" ht="14.25" customHeight="1" x14ac:dyDescent="0.3">
      <c r="C964" s="2"/>
      <c r="E964" s="3"/>
      <c r="G964" s="3"/>
      <c r="H964" s="4"/>
    </row>
    <row r="965" spans="3:8" ht="14.25" customHeight="1" x14ac:dyDescent="0.3">
      <c r="C965" s="2"/>
      <c r="E965" s="3"/>
      <c r="G965" s="3"/>
      <c r="H965" s="4"/>
    </row>
    <row r="966" spans="3:8" ht="14.25" customHeight="1" x14ac:dyDescent="0.3">
      <c r="C966" s="2"/>
      <c r="E966" s="3"/>
      <c r="G966" s="3"/>
      <c r="H966" s="4"/>
    </row>
    <row r="967" spans="3:8" ht="14.25" customHeight="1" x14ac:dyDescent="0.3">
      <c r="C967" s="2"/>
      <c r="E967" s="3"/>
      <c r="G967" s="3"/>
      <c r="H967" s="4"/>
    </row>
    <row r="968" spans="3:8" ht="14.25" customHeight="1" x14ac:dyDescent="0.3">
      <c r="C968" s="2"/>
      <c r="E968" s="3"/>
      <c r="G968" s="3"/>
      <c r="H968" s="4"/>
    </row>
    <row r="969" spans="3:8" ht="14.25" customHeight="1" x14ac:dyDescent="0.3">
      <c r="C969" s="2"/>
      <c r="E969" s="3"/>
      <c r="G969" s="3"/>
      <c r="H969" s="4"/>
    </row>
    <row r="970" spans="3:8" ht="14.25" customHeight="1" x14ac:dyDescent="0.3">
      <c r="C970" s="2"/>
      <c r="E970" s="3"/>
      <c r="G970" s="3"/>
      <c r="H970" s="4"/>
    </row>
    <row r="971" spans="3:8" ht="14.25" customHeight="1" x14ac:dyDescent="0.3">
      <c r="C971" s="2"/>
      <c r="E971" s="3"/>
      <c r="G971" s="3"/>
      <c r="H971" s="4"/>
    </row>
    <row r="972" spans="3:8" ht="14.25" customHeight="1" x14ac:dyDescent="0.3">
      <c r="C972" s="2"/>
      <c r="E972" s="3"/>
      <c r="G972" s="3"/>
      <c r="H972" s="4"/>
    </row>
    <row r="973" spans="3:8" ht="14.25" customHeight="1" x14ac:dyDescent="0.3">
      <c r="C973" s="2"/>
      <c r="E973" s="3"/>
      <c r="G973" s="3"/>
      <c r="H973" s="4"/>
    </row>
    <row r="974" spans="3:8" ht="14.25" customHeight="1" x14ac:dyDescent="0.3">
      <c r="C974" s="2"/>
      <c r="E974" s="3"/>
      <c r="G974" s="3"/>
      <c r="H974" s="4"/>
    </row>
    <row r="975" spans="3:8" ht="14.25" customHeight="1" x14ac:dyDescent="0.3">
      <c r="C975" s="2"/>
      <c r="E975" s="3"/>
      <c r="G975" s="3"/>
      <c r="H975" s="4"/>
    </row>
    <row r="976" spans="3:8" ht="14.25" customHeight="1" x14ac:dyDescent="0.3">
      <c r="C976" s="2"/>
      <c r="E976" s="3"/>
      <c r="G976" s="3"/>
      <c r="H976" s="4"/>
    </row>
    <row r="977" spans="3:8" ht="14.25" customHeight="1" x14ac:dyDescent="0.3">
      <c r="C977" s="2"/>
      <c r="E977" s="3"/>
      <c r="G977" s="3"/>
      <c r="H977" s="4"/>
    </row>
    <row r="978" spans="3:8" ht="14.25" customHeight="1" x14ac:dyDescent="0.3">
      <c r="C978" s="2"/>
      <c r="E978" s="3"/>
      <c r="G978" s="3"/>
      <c r="H978" s="4"/>
    </row>
    <row r="979" spans="3:8" ht="14.25" customHeight="1" x14ac:dyDescent="0.3">
      <c r="C979" s="2"/>
      <c r="E979" s="3"/>
      <c r="G979" s="3"/>
      <c r="H979" s="4"/>
    </row>
    <row r="980" spans="3:8" ht="14.25" customHeight="1" x14ac:dyDescent="0.3">
      <c r="C980" s="2"/>
      <c r="E980" s="3"/>
      <c r="G980" s="3"/>
      <c r="H980" s="4"/>
    </row>
    <row r="981" spans="3:8" ht="14.25" customHeight="1" x14ac:dyDescent="0.3">
      <c r="C981" s="2"/>
      <c r="E981" s="3"/>
      <c r="G981" s="3"/>
      <c r="H981" s="4"/>
    </row>
    <row r="982" spans="3:8" ht="14.25" customHeight="1" x14ac:dyDescent="0.3">
      <c r="C982" s="2"/>
      <c r="E982" s="3"/>
      <c r="G982" s="3"/>
      <c r="H982" s="4"/>
    </row>
    <row r="983" spans="3:8" ht="14.25" customHeight="1" x14ac:dyDescent="0.3">
      <c r="C983" s="2"/>
      <c r="E983" s="3"/>
      <c r="G983" s="3"/>
      <c r="H983" s="4"/>
    </row>
    <row r="984" spans="3:8" ht="14.25" customHeight="1" x14ac:dyDescent="0.3">
      <c r="C984" s="2"/>
      <c r="E984" s="3"/>
      <c r="G984" s="3"/>
      <c r="H984" s="4"/>
    </row>
    <row r="985" spans="3:8" ht="14.25" customHeight="1" x14ac:dyDescent="0.3">
      <c r="C985" s="2"/>
      <c r="E985" s="3"/>
      <c r="G985" s="3"/>
      <c r="H985" s="4"/>
    </row>
    <row r="986" spans="3:8" ht="14.25" customHeight="1" x14ac:dyDescent="0.3">
      <c r="C986" s="2"/>
      <c r="E986" s="3"/>
      <c r="G986" s="3"/>
      <c r="H986" s="4"/>
    </row>
    <row r="987" spans="3:8" ht="14.25" customHeight="1" x14ac:dyDescent="0.3">
      <c r="C987" s="2"/>
      <c r="E987" s="3"/>
      <c r="G987" s="3"/>
      <c r="H987" s="4"/>
    </row>
    <row r="988" spans="3:8" ht="14.25" customHeight="1" x14ac:dyDescent="0.3">
      <c r="C988" s="2"/>
      <c r="E988" s="3"/>
      <c r="G988" s="3"/>
      <c r="H988" s="4"/>
    </row>
    <row r="989" spans="3:8" ht="14.25" customHeight="1" x14ac:dyDescent="0.3">
      <c r="C989" s="2"/>
      <c r="E989" s="3"/>
      <c r="G989" s="3"/>
      <c r="H989" s="4"/>
    </row>
    <row r="990" spans="3:8" ht="14.25" customHeight="1" x14ac:dyDescent="0.3">
      <c r="C990" s="2"/>
      <c r="E990" s="3"/>
      <c r="G990" s="3"/>
      <c r="H990" s="4"/>
    </row>
    <row r="991" spans="3:8" ht="14.25" customHeight="1" x14ac:dyDescent="0.3">
      <c r="C991" s="2"/>
      <c r="E991" s="3"/>
      <c r="G991" s="3"/>
      <c r="H991" s="4"/>
    </row>
    <row r="992" spans="3:8" ht="14.25" customHeight="1" x14ac:dyDescent="0.3">
      <c r="C992" s="2"/>
      <c r="E992" s="3"/>
      <c r="G992" s="3"/>
      <c r="H992" s="4"/>
    </row>
    <row r="993" spans="3:8" ht="14.25" customHeight="1" x14ac:dyDescent="0.3">
      <c r="C993" s="2"/>
      <c r="E993" s="3"/>
      <c r="G993" s="3"/>
      <c r="H993" s="4"/>
    </row>
    <row r="994" spans="3:8" ht="14.25" customHeight="1" x14ac:dyDescent="0.3">
      <c r="C994" s="2"/>
      <c r="E994" s="3"/>
      <c r="G994" s="3"/>
      <c r="H994" s="4"/>
    </row>
    <row r="995" spans="3:8" ht="14.25" customHeight="1" x14ac:dyDescent="0.3">
      <c r="C995" s="2"/>
      <c r="E995" s="3"/>
      <c r="G995" s="3"/>
      <c r="H995" s="4"/>
    </row>
    <row r="996" spans="3:8" ht="14.25" customHeight="1" x14ac:dyDescent="0.3">
      <c r="C996" s="2"/>
      <c r="E996" s="3"/>
      <c r="G996" s="3"/>
      <c r="H996" s="4"/>
    </row>
    <row r="997" spans="3:8" ht="14.25" customHeight="1" x14ac:dyDescent="0.3">
      <c r="C997" s="2"/>
      <c r="E997" s="3"/>
      <c r="G997" s="3"/>
      <c r="H997" s="4"/>
    </row>
    <row r="998" spans="3:8" ht="14.25" customHeight="1" x14ac:dyDescent="0.3">
      <c r="C998" s="2"/>
      <c r="E998" s="3"/>
      <c r="G998" s="3"/>
      <c r="H998" s="4"/>
    </row>
    <row r="999" spans="3:8" ht="14.25" customHeight="1" x14ac:dyDescent="0.3">
      <c r="C999" s="2"/>
      <c r="E999" s="3"/>
      <c r="G999" s="3"/>
      <c r="H999" s="4"/>
    </row>
    <row r="1000" spans="3:8" ht="14.25" customHeight="1" x14ac:dyDescent="0.3">
      <c r="C1000" s="2"/>
      <c r="E1000" s="3"/>
      <c r="G1000" s="3"/>
      <c r="H1000" s="4"/>
    </row>
    <row r="1001" spans="3:8" ht="14.25" customHeight="1" x14ac:dyDescent="0.3">
      <c r="C1001" s="2"/>
      <c r="E1001" s="3"/>
      <c r="G1001" s="3"/>
      <c r="H1001" s="4"/>
    </row>
    <row r="1002" spans="3:8" ht="14.25" customHeight="1" x14ac:dyDescent="0.3">
      <c r="C1002" s="2"/>
      <c r="E1002" s="3"/>
      <c r="G1002" s="3"/>
      <c r="H1002" s="4"/>
    </row>
    <row r="1003" spans="3:8" ht="14.25" customHeight="1" x14ac:dyDescent="0.3">
      <c r="C1003" s="2"/>
      <c r="E1003" s="3"/>
      <c r="G1003" s="3"/>
      <c r="H1003" s="4"/>
    </row>
    <row r="1004" spans="3:8" ht="14.25" customHeight="1" x14ac:dyDescent="0.3">
      <c r="C1004" s="2"/>
      <c r="E1004" s="3"/>
      <c r="G1004" s="3"/>
      <c r="H1004" s="4"/>
    </row>
  </sheetData>
  <mergeCells count="3">
    <mergeCell ref="B2:G2"/>
    <mergeCell ref="I11:K11"/>
    <mergeCell ref="M11:N11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000"/>
  <sheetViews>
    <sheetView tabSelected="1" topLeftCell="A20" zoomScale="90" zoomScaleNormal="90" workbookViewId="0">
      <selection activeCell="C42" sqref="C42"/>
    </sheetView>
  </sheetViews>
  <sheetFormatPr defaultColWidth="14.44140625" defaultRowHeight="15" customHeight="1" x14ac:dyDescent="0.3"/>
  <cols>
    <col min="1" max="1" width="8.6640625" customWidth="1"/>
    <col min="2" max="2" width="14.5546875" customWidth="1"/>
    <col min="3" max="3" width="16.5546875" customWidth="1"/>
    <col min="4" max="4" width="17.6640625" customWidth="1"/>
    <col min="5" max="5" width="14.88671875" customWidth="1"/>
    <col min="6" max="6" width="13.6640625" customWidth="1"/>
    <col min="7" max="7" width="16.6640625" customWidth="1"/>
    <col min="8" max="26" width="8.6640625" customWidth="1"/>
  </cols>
  <sheetData>
    <row r="1" spans="2:7" ht="14.25" customHeight="1" x14ac:dyDescent="0.3"/>
    <row r="2" spans="2:7" ht="14.25" customHeight="1" x14ac:dyDescent="0.3">
      <c r="B2" s="74"/>
    </row>
    <row r="3" spans="2:7" ht="14.25" customHeight="1" x14ac:dyDescent="0.3">
      <c r="B3" s="105">
        <v>2026</v>
      </c>
      <c r="C3" s="106"/>
      <c r="D3" s="106"/>
      <c r="E3" s="106"/>
      <c r="F3" s="106"/>
      <c r="G3" s="107"/>
    </row>
    <row r="4" spans="2:7" ht="14.25" customHeight="1" x14ac:dyDescent="0.3">
      <c r="B4" s="5" t="s">
        <v>1</v>
      </c>
      <c r="C4" s="75" t="s">
        <v>2</v>
      </c>
      <c r="D4" s="76" t="s">
        <v>3</v>
      </c>
      <c r="E4" s="77" t="s">
        <v>4</v>
      </c>
      <c r="F4" s="9" t="s">
        <v>5</v>
      </c>
      <c r="G4" s="10" t="s">
        <v>6</v>
      </c>
    </row>
    <row r="5" spans="2:7" ht="14.25" customHeight="1" x14ac:dyDescent="0.3">
      <c r="B5" s="78">
        <v>46027</v>
      </c>
      <c r="C5" s="88">
        <v>42157.16</v>
      </c>
      <c r="D5" s="79" t="s">
        <v>84</v>
      </c>
      <c r="E5" s="80">
        <v>49930.400000000001</v>
      </c>
      <c r="F5" s="81">
        <v>1502</v>
      </c>
      <c r="G5" s="82">
        <f t="shared" ref="G5:G58" si="0">E5-C5</f>
        <v>7773.239999999998</v>
      </c>
    </row>
    <row r="6" spans="2:7" ht="14.25" customHeight="1" x14ac:dyDescent="0.3">
      <c r="B6" s="78">
        <v>46034</v>
      </c>
      <c r="C6" s="89">
        <v>41745.32</v>
      </c>
      <c r="D6" s="83" t="s">
        <v>85</v>
      </c>
      <c r="E6" s="84">
        <v>54708.7</v>
      </c>
      <c r="F6" s="67">
        <v>1694</v>
      </c>
      <c r="G6" s="68">
        <f t="shared" si="0"/>
        <v>12963.379999999997</v>
      </c>
    </row>
    <row r="7" spans="2:7" ht="14.25" customHeight="1" x14ac:dyDescent="0.3">
      <c r="B7" s="78">
        <v>46041</v>
      </c>
      <c r="C7" s="102">
        <v>45635.24</v>
      </c>
      <c r="D7" s="83" t="s">
        <v>86</v>
      </c>
      <c r="E7" s="101">
        <v>52121.56</v>
      </c>
      <c r="F7" s="67">
        <v>1737</v>
      </c>
      <c r="G7" s="82">
        <f t="shared" si="0"/>
        <v>6486.32</v>
      </c>
    </row>
    <row r="8" spans="2:7" ht="14.25" customHeight="1" x14ac:dyDescent="0.3">
      <c r="B8" s="78">
        <v>46048</v>
      </c>
      <c r="C8" s="102">
        <v>52425.599999999999</v>
      </c>
      <c r="D8" s="83" t="s">
        <v>88</v>
      </c>
      <c r="E8" s="101">
        <v>49418.97</v>
      </c>
      <c r="F8" s="67">
        <v>1767</v>
      </c>
      <c r="G8" s="68">
        <f t="shared" si="0"/>
        <v>-3006.6299999999974</v>
      </c>
    </row>
    <row r="9" spans="2:7" ht="14.25" customHeight="1" x14ac:dyDescent="0.3">
      <c r="B9" s="78">
        <v>46055</v>
      </c>
      <c r="C9" s="102">
        <v>50636.21</v>
      </c>
      <c r="D9" s="83" t="s">
        <v>87</v>
      </c>
      <c r="E9" s="101">
        <v>61252.36</v>
      </c>
      <c r="F9" s="67">
        <v>1965</v>
      </c>
      <c r="G9" s="82">
        <f t="shared" si="0"/>
        <v>10616.150000000001</v>
      </c>
    </row>
    <row r="10" spans="2:7" ht="14.25" customHeight="1" x14ac:dyDescent="0.3">
      <c r="B10" s="78">
        <v>46062</v>
      </c>
      <c r="C10" s="102">
        <v>52389.2</v>
      </c>
      <c r="D10" s="83" t="s">
        <v>89</v>
      </c>
      <c r="E10" s="101">
        <v>54457.21</v>
      </c>
      <c r="F10" s="67">
        <v>1857</v>
      </c>
      <c r="G10" s="68">
        <f t="shared" si="0"/>
        <v>2068.010000000002</v>
      </c>
    </row>
    <row r="11" spans="2:7" ht="14.25" customHeight="1" x14ac:dyDescent="0.3">
      <c r="B11" s="78">
        <v>46069</v>
      </c>
      <c r="C11" s="102">
        <v>57709.39</v>
      </c>
      <c r="D11" s="83" t="s">
        <v>90</v>
      </c>
      <c r="E11" s="101">
        <v>54580.959999999999</v>
      </c>
      <c r="F11" s="67">
        <v>1973</v>
      </c>
      <c r="G11" s="82">
        <f t="shared" si="0"/>
        <v>-3128.4300000000003</v>
      </c>
    </row>
    <row r="12" spans="2:7" ht="14.25" customHeight="1" x14ac:dyDescent="0.3">
      <c r="B12" s="78">
        <v>46076</v>
      </c>
      <c r="C12" s="102">
        <v>46213.37</v>
      </c>
      <c r="D12" s="83" t="s">
        <v>91</v>
      </c>
      <c r="E12" s="101">
        <v>78808.52</v>
      </c>
      <c r="F12" s="67">
        <v>2532</v>
      </c>
      <c r="G12" s="68">
        <f t="shared" si="0"/>
        <v>32595.15</v>
      </c>
    </row>
    <row r="13" spans="2:7" ht="14.25" customHeight="1" x14ac:dyDescent="0.3">
      <c r="B13" s="78">
        <v>46083</v>
      </c>
      <c r="C13" s="102">
        <v>29979.05</v>
      </c>
      <c r="D13" s="83" t="s">
        <v>97</v>
      </c>
      <c r="E13" s="101">
        <v>60324.25</v>
      </c>
      <c r="F13" s="67">
        <v>2140</v>
      </c>
      <c r="G13" s="82">
        <f t="shared" si="0"/>
        <v>30345.200000000001</v>
      </c>
    </row>
    <row r="14" spans="2:7" ht="14.25" customHeight="1" x14ac:dyDescent="0.3">
      <c r="B14" s="78">
        <v>46090</v>
      </c>
      <c r="C14" s="102">
        <v>28795.16</v>
      </c>
      <c r="D14" s="83" t="s">
        <v>92</v>
      </c>
      <c r="E14" s="101">
        <v>56304.959999999999</v>
      </c>
      <c r="F14" s="67">
        <v>2036</v>
      </c>
      <c r="G14" s="68">
        <f t="shared" si="0"/>
        <v>27509.8</v>
      </c>
    </row>
    <row r="15" spans="2:7" ht="14.25" customHeight="1" x14ac:dyDescent="0.3">
      <c r="B15" s="78">
        <v>46097</v>
      </c>
      <c r="C15" s="102">
        <v>32437.34</v>
      </c>
      <c r="D15" s="83" t="s">
        <v>93</v>
      </c>
      <c r="E15" s="101">
        <v>57049.49</v>
      </c>
      <c r="F15" s="67">
        <v>2009</v>
      </c>
      <c r="G15" s="82">
        <f t="shared" si="0"/>
        <v>24612.149999999998</v>
      </c>
    </row>
    <row r="16" spans="2:7" ht="14.25" customHeight="1" x14ac:dyDescent="0.3">
      <c r="B16" s="78">
        <v>46104</v>
      </c>
      <c r="C16" s="103">
        <v>42874.71</v>
      </c>
      <c r="D16" s="83" t="s">
        <v>94</v>
      </c>
      <c r="E16" s="101">
        <v>57600.5</v>
      </c>
      <c r="F16" s="67">
        <v>2009</v>
      </c>
      <c r="G16" s="68">
        <f t="shared" si="0"/>
        <v>14725.79</v>
      </c>
    </row>
    <row r="17" spans="2:7" ht="14.25" customHeight="1" x14ac:dyDescent="0.3">
      <c r="B17" s="78">
        <v>46111</v>
      </c>
      <c r="C17" s="103">
        <v>39349.14</v>
      </c>
      <c r="D17" s="83" t="s">
        <v>95</v>
      </c>
      <c r="E17" s="101">
        <v>62401.24</v>
      </c>
      <c r="F17" s="67">
        <v>2177</v>
      </c>
      <c r="G17" s="82">
        <f t="shared" si="0"/>
        <v>23052.1</v>
      </c>
    </row>
    <row r="18" spans="2:7" ht="14.25" customHeight="1" x14ac:dyDescent="0.3">
      <c r="B18" s="78">
        <v>46118</v>
      </c>
      <c r="C18" s="103">
        <v>54742.32</v>
      </c>
      <c r="D18" s="83" t="s">
        <v>96</v>
      </c>
      <c r="E18" s="101">
        <v>66249.16</v>
      </c>
      <c r="F18" s="67">
        <v>2118</v>
      </c>
      <c r="G18" s="68">
        <f t="shared" si="0"/>
        <v>11506.840000000004</v>
      </c>
    </row>
    <row r="19" spans="2:7" ht="14.25" customHeight="1" x14ac:dyDescent="0.3">
      <c r="B19" s="78">
        <v>46125</v>
      </c>
      <c r="C19" s="103">
        <v>52122.59</v>
      </c>
      <c r="D19" s="83" t="s">
        <v>99</v>
      </c>
      <c r="E19" s="101">
        <v>93205.85</v>
      </c>
      <c r="F19" s="67">
        <v>2890</v>
      </c>
      <c r="G19" s="82">
        <f t="shared" si="0"/>
        <v>41083.260000000009</v>
      </c>
    </row>
    <row r="20" spans="2:7" ht="14.25" customHeight="1" x14ac:dyDescent="0.3">
      <c r="B20" s="78">
        <v>46132</v>
      </c>
      <c r="C20" s="103">
        <v>61685.62</v>
      </c>
      <c r="D20" s="83" t="s">
        <v>100</v>
      </c>
      <c r="E20" s="101">
        <v>61878.2</v>
      </c>
      <c r="F20" s="67">
        <v>2412</v>
      </c>
      <c r="G20" s="68">
        <f t="shared" si="0"/>
        <v>192.57999999999447</v>
      </c>
    </row>
    <row r="21" spans="2:7" ht="14.25" customHeight="1" x14ac:dyDescent="0.3">
      <c r="B21" s="78">
        <v>46139</v>
      </c>
      <c r="C21" s="103">
        <v>51982.47</v>
      </c>
      <c r="D21" s="83" t="s">
        <v>101</v>
      </c>
      <c r="E21" s="101">
        <v>59156.19</v>
      </c>
      <c r="F21" s="67">
        <v>2126</v>
      </c>
      <c r="G21" s="82">
        <f t="shared" si="0"/>
        <v>7173.7200000000012</v>
      </c>
    </row>
    <row r="22" spans="2:7" ht="14.25" customHeight="1" x14ac:dyDescent="0.3">
      <c r="B22" s="78">
        <v>46146</v>
      </c>
      <c r="C22" s="103">
        <v>38998.959999999999</v>
      </c>
      <c r="D22" s="83" t="s">
        <v>102</v>
      </c>
      <c r="E22" s="101">
        <v>65175.13</v>
      </c>
      <c r="F22" s="67">
        <v>2270</v>
      </c>
      <c r="G22" s="68">
        <f t="shared" si="0"/>
        <v>26176.17</v>
      </c>
    </row>
    <row r="23" spans="2:7" ht="14.25" customHeight="1" x14ac:dyDescent="0.3">
      <c r="B23" s="78">
        <v>46153</v>
      </c>
      <c r="C23" s="103">
        <v>44179.12</v>
      </c>
      <c r="D23" s="83" t="s">
        <v>105</v>
      </c>
      <c r="E23" s="101">
        <v>61485.66</v>
      </c>
      <c r="F23" s="67">
        <v>2278</v>
      </c>
      <c r="G23" s="82">
        <f t="shared" si="0"/>
        <v>17306.54</v>
      </c>
    </row>
    <row r="24" spans="2:7" ht="14.25" customHeight="1" x14ac:dyDescent="0.3">
      <c r="B24" s="78">
        <v>46160</v>
      </c>
      <c r="C24" s="103">
        <v>52151.09</v>
      </c>
      <c r="D24" s="83" t="s">
        <v>103</v>
      </c>
      <c r="E24" s="101">
        <v>68779.27</v>
      </c>
      <c r="F24" s="67">
        <v>2405</v>
      </c>
      <c r="G24" s="68">
        <f t="shared" si="0"/>
        <v>16628.180000000008</v>
      </c>
    </row>
    <row r="25" spans="2:7" ht="14.25" customHeight="1" x14ac:dyDescent="0.3">
      <c r="B25" s="78">
        <v>46167</v>
      </c>
      <c r="C25" s="103">
        <v>42210.06</v>
      </c>
      <c r="D25" s="83" t="s">
        <v>104</v>
      </c>
      <c r="E25" s="101">
        <v>61480.33</v>
      </c>
      <c r="F25" s="67">
        <v>2317</v>
      </c>
      <c r="G25" s="82">
        <f t="shared" si="0"/>
        <v>19270.270000000004</v>
      </c>
    </row>
    <row r="26" spans="2:7" ht="14.25" customHeight="1" x14ac:dyDescent="0.3">
      <c r="B26" s="78">
        <v>46174</v>
      </c>
      <c r="C26" s="103">
        <v>70753.98</v>
      </c>
      <c r="D26" s="83" t="s">
        <v>106</v>
      </c>
      <c r="E26" s="101">
        <v>85711.47</v>
      </c>
      <c r="F26" s="67">
        <v>2907</v>
      </c>
      <c r="G26" s="68">
        <f t="shared" si="0"/>
        <v>14957.490000000005</v>
      </c>
    </row>
    <row r="27" spans="2:7" ht="14.25" customHeight="1" x14ac:dyDescent="0.3">
      <c r="B27" s="78">
        <v>46181</v>
      </c>
      <c r="C27" s="103">
        <v>55993.35</v>
      </c>
      <c r="D27" s="83" t="s">
        <v>107</v>
      </c>
      <c r="E27" s="101">
        <v>85920.9</v>
      </c>
      <c r="F27" s="67">
        <v>2854</v>
      </c>
      <c r="G27" s="82">
        <f t="shared" si="0"/>
        <v>29927.549999999996</v>
      </c>
    </row>
    <row r="28" spans="2:7" ht="14.25" customHeight="1" x14ac:dyDescent="0.3">
      <c r="B28" s="78">
        <v>46188</v>
      </c>
      <c r="C28" s="103">
        <v>50308.58</v>
      </c>
      <c r="D28" s="83" t="s">
        <v>108</v>
      </c>
      <c r="E28" s="101"/>
      <c r="F28" s="67"/>
      <c r="G28" s="68">
        <f t="shared" si="0"/>
        <v>-50308.58</v>
      </c>
    </row>
    <row r="29" spans="2:7" ht="14.25" customHeight="1" x14ac:dyDescent="0.3">
      <c r="B29" s="78">
        <v>46195</v>
      </c>
      <c r="C29" s="103">
        <v>63441.08</v>
      </c>
      <c r="D29" s="83" t="s">
        <v>109</v>
      </c>
      <c r="E29" s="101"/>
      <c r="F29" s="67"/>
      <c r="G29" s="82">
        <f t="shared" si="0"/>
        <v>-63441.08</v>
      </c>
    </row>
    <row r="30" spans="2:7" ht="14.25" customHeight="1" x14ac:dyDescent="0.3">
      <c r="B30" s="78">
        <v>46202</v>
      </c>
      <c r="C30" s="103">
        <v>69240.56</v>
      </c>
      <c r="D30" s="83" t="s">
        <v>110</v>
      </c>
      <c r="E30" s="101"/>
      <c r="F30" s="67"/>
      <c r="G30" s="68">
        <f t="shared" si="0"/>
        <v>-69240.56</v>
      </c>
    </row>
    <row r="31" spans="2:7" ht="14.25" customHeight="1" x14ac:dyDescent="0.3">
      <c r="B31" s="78">
        <v>46209</v>
      </c>
      <c r="C31" s="103">
        <v>35647.269999999997</v>
      </c>
      <c r="D31" s="83" t="s">
        <v>111</v>
      </c>
      <c r="E31" s="101"/>
      <c r="F31" s="67"/>
      <c r="G31" s="82">
        <f t="shared" si="0"/>
        <v>-35647.269999999997</v>
      </c>
    </row>
    <row r="32" spans="2:7" ht="14.25" customHeight="1" x14ac:dyDescent="0.3">
      <c r="B32" s="78">
        <v>46216</v>
      </c>
      <c r="C32" s="103">
        <v>51853.38</v>
      </c>
      <c r="D32" s="83" t="s">
        <v>112</v>
      </c>
      <c r="E32" s="101"/>
      <c r="F32" s="67"/>
      <c r="G32" s="68">
        <f t="shared" si="0"/>
        <v>-51853.38</v>
      </c>
    </row>
    <row r="33" spans="2:7" ht="14.25" customHeight="1" x14ac:dyDescent="0.3">
      <c r="B33" s="78">
        <v>46223</v>
      </c>
      <c r="C33" s="103">
        <v>55711.73</v>
      </c>
      <c r="D33" s="83" t="s">
        <v>113</v>
      </c>
      <c r="E33" s="101"/>
      <c r="F33" s="67"/>
      <c r="G33" s="82">
        <f t="shared" si="0"/>
        <v>-55711.73</v>
      </c>
    </row>
    <row r="34" spans="2:7" ht="14.25" customHeight="1" x14ac:dyDescent="0.3">
      <c r="B34" s="78">
        <v>46230</v>
      </c>
      <c r="C34" s="85">
        <v>85531.04</v>
      </c>
      <c r="D34" s="83" t="s">
        <v>114</v>
      </c>
      <c r="E34" s="101"/>
      <c r="F34" s="67"/>
      <c r="G34" s="68">
        <f t="shared" si="0"/>
        <v>-85531.04</v>
      </c>
    </row>
    <row r="35" spans="2:7" ht="14.25" customHeight="1" x14ac:dyDescent="0.3">
      <c r="B35" s="78">
        <v>46237</v>
      </c>
      <c r="C35" s="85">
        <v>81128.710000000006</v>
      </c>
      <c r="D35" s="83" t="s">
        <v>115</v>
      </c>
      <c r="E35" s="101"/>
      <c r="F35" s="67"/>
      <c r="G35" s="82">
        <f t="shared" si="0"/>
        <v>-81128.710000000006</v>
      </c>
    </row>
    <row r="36" spans="2:7" ht="14.25" customHeight="1" x14ac:dyDescent="0.3">
      <c r="B36" s="78">
        <v>46244</v>
      </c>
      <c r="C36" s="85">
        <v>75635.839999999997</v>
      </c>
      <c r="D36" s="83" t="s">
        <v>116</v>
      </c>
      <c r="E36" s="101"/>
      <c r="F36" s="67"/>
      <c r="G36" s="68">
        <f t="shared" si="0"/>
        <v>-75635.839999999997</v>
      </c>
    </row>
    <row r="37" spans="2:7" ht="14.25" customHeight="1" x14ac:dyDescent="0.3">
      <c r="B37" s="78">
        <v>46251</v>
      </c>
      <c r="C37" s="85">
        <v>65542.41</v>
      </c>
      <c r="D37" s="83"/>
      <c r="E37" s="101"/>
      <c r="F37" s="67"/>
      <c r="G37" s="82">
        <f t="shared" si="0"/>
        <v>-65542.41</v>
      </c>
    </row>
    <row r="38" spans="2:7" ht="14.25" customHeight="1" x14ac:dyDescent="0.3">
      <c r="B38" s="78">
        <v>46258</v>
      </c>
      <c r="C38" s="85">
        <v>94822.36</v>
      </c>
      <c r="D38" s="83"/>
      <c r="E38" s="101"/>
      <c r="F38" s="67"/>
      <c r="G38" s="68">
        <f t="shared" si="0"/>
        <v>-94822.36</v>
      </c>
    </row>
    <row r="39" spans="2:7" ht="14.25" customHeight="1" x14ac:dyDescent="0.3">
      <c r="B39" s="78">
        <v>46265</v>
      </c>
      <c r="C39" s="85">
        <v>111324.55</v>
      </c>
      <c r="D39" s="83"/>
      <c r="E39" s="101"/>
      <c r="F39" s="67"/>
      <c r="G39" s="82">
        <f t="shared" si="0"/>
        <v>-111324.55</v>
      </c>
    </row>
    <row r="40" spans="2:7" ht="14.25" customHeight="1" x14ac:dyDescent="0.3">
      <c r="B40" s="104">
        <v>46272</v>
      </c>
      <c r="C40" s="85">
        <v>118605.81</v>
      </c>
      <c r="D40" s="83"/>
      <c r="E40" s="101"/>
      <c r="F40" s="67"/>
      <c r="G40" s="68">
        <f t="shared" si="0"/>
        <v>-118605.81</v>
      </c>
    </row>
    <row r="41" spans="2:7" ht="14.25" customHeight="1" x14ac:dyDescent="0.3">
      <c r="B41" s="104">
        <v>46279</v>
      </c>
      <c r="C41" s="85">
        <v>133419.22</v>
      </c>
      <c r="D41" s="83"/>
      <c r="E41" s="101"/>
      <c r="F41" s="67"/>
      <c r="G41" s="82">
        <f t="shared" si="0"/>
        <v>-133419.22</v>
      </c>
    </row>
    <row r="42" spans="2:7" ht="14.25" customHeight="1" x14ac:dyDescent="0.3">
      <c r="B42" s="104">
        <v>46286</v>
      </c>
      <c r="C42" s="85"/>
      <c r="D42" s="83"/>
      <c r="E42" s="101"/>
      <c r="F42" s="67"/>
      <c r="G42" s="68">
        <f t="shared" si="0"/>
        <v>0</v>
      </c>
    </row>
    <row r="43" spans="2:7" ht="14.25" customHeight="1" x14ac:dyDescent="0.3">
      <c r="B43" s="104">
        <v>46293</v>
      </c>
      <c r="C43" s="85"/>
      <c r="D43" s="83"/>
      <c r="E43" s="101"/>
      <c r="F43" s="67"/>
      <c r="G43" s="82">
        <f t="shared" si="0"/>
        <v>0</v>
      </c>
    </row>
    <row r="44" spans="2:7" ht="14.25" customHeight="1" x14ac:dyDescent="0.3">
      <c r="B44" s="104">
        <v>46300</v>
      </c>
      <c r="C44" s="85"/>
      <c r="D44" s="83"/>
      <c r="E44" s="101"/>
      <c r="F44" s="67"/>
      <c r="G44" s="68">
        <f t="shared" si="0"/>
        <v>0</v>
      </c>
    </row>
    <row r="45" spans="2:7" ht="14.25" customHeight="1" x14ac:dyDescent="0.3">
      <c r="B45" s="104">
        <v>46307</v>
      </c>
      <c r="C45" s="85"/>
      <c r="D45" s="83"/>
      <c r="E45" s="101"/>
      <c r="F45" s="67"/>
      <c r="G45" s="82">
        <f t="shared" si="0"/>
        <v>0</v>
      </c>
    </row>
    <row r="46" spans="2:7" ht="14.25" customHeight="1" x14ac:dyDescent="0.3">
      <c r="B46" s="104">
        <v>46314</v>
      </c>
      <c r="C46" s="85"/>
      <c r="D46" s="83"/>
      <c r="E46" s="101"/>
      <c r="F46" s="67"/>
      <c r="G46" s="68">
        <f t="shared" si="0"/>
        <v>0</v>
      </c>
    </row>
    <row r="47" spans="2:7" ht="14.25" customHeight="1" x14ac:dyDescent="0.3">
      <c r="B47" s="104">
        <v>46321</v>
      </c>
      <c r="C47" s="85"/>
      <c r="D47" s="83"/>
      <c r="E47" s="101"/>
      <c r="F47" s="67"/>
      <c r="G47" s="82">
        <f t="shared" si="0"/>
        <v>0</v>
      </c>
    </row>
    <row r="48" spans="2:7" ht="14.25" customHeight="1" x14ac:dyDescent="0.3">
      <c r="B48" s="104">
        <v>46328</v>
      </c>
      <c r="C48" s="85"/>
      <c r="D48" s="83"/>
      <c r="E48" s="101"/>
      <c r="F48" s="67"/>
      <c r="G48" s="68">
        <f t="shared" si="0"/>
        <v>0</v>
      </c>
    </row>
    <row r="49" spans="2:7" ht="14.25" customHeight="1" x14ac:dyDescent="0.3">
      <c r="B49" s="78">
        <v>46335</v>
      </c>
      <c r="C49" s="85"/>
      <c r="D49" s="83"/>
      <c r="E49" s="101"/>
      <c r="F49" s="67"/>
      <c r="G49" s="82">
        <f t="shared" si="0"/>
        <v>0</v>
      </c>
    </row>
    <row r="50" spans="2:7" ht="14.25" customHeight="1" x14ac:dyDescent="0.3">
      <c r="B50" s="78">
        <v>46342</v>
      </c>
      <c r="C50" s="85"/>
      <c r="D50" s="83"/>
      <c r="E50" s="101"/>
      <c r="F50" s="67"/>
      <c r="G50" s="68">
        <f t="shared" si="0"/>
        <v>0</v>
      </c>
    </row>
    <row r="51" spans="2:7" ht="14.25" customHeight="1" x14ac:dyDescent="0.3">
      <c r="B51" s="78">
        <v>46349</v>
      </c>
      <c r="C51" s="85"/>
      <c r="D51" s="83"/>
      <c r="E51" s="101"/>
      <c r="F51" s="67"/>
      <c r="G51" s="82">
        <f t="shared" si="0"/>
        <v>0</v>
      </c>
    </row>
    <row r="52" spans="2:7" ht="14.25" customHeight="1" x14ac:dyDescent="0.3">
      <c r="B52" s="78">
        <v>46356</v>
      </c>
      <c r="C52" s="85"/>
      <c r="D52" s="83"/>
      <c r="E52" s="101"/>
      <c r="F52" s="67"/>
      <c r="G52" s="68">
        <f t="shared" si="0"/>
        <v>0</v>
      </c>
    </row>
    <row r="53" spans="2:7" ht="14.25" customHeight="1" x14ac:dyDescent="0.3">
      <c r="B53" s="78">
        <v>46363</v>
      </c>
      <c r="C53" s="85"/>
      <c r="D53" s="83"/>
      <c r="E53" s="101"/>
      <c r="F53" s="67"/>
      <c r="G53" s="82">
        <f t="shared" si="0"/>
        <v>0</v>
      </c>
    </row>
    <row r="54" spans="2:7" ht="14.25" customHeight="1" x14ac:dyDescent="0.3">
      <c r="B54" s="78">
        <v>46370</v>
      </c>
      <c r="C54" s="85"/>
      <c r="D54" s="83"/>
      <c r="E54" s="101"/>
      <c r="F54" s="67"/>
      <c r="G54" s="68">
        <f t="shared" si="0"/>
        <v>0</v>
      </c>
    </row>
    <row r="55" spans="2:7" ht="14.25" customHeight="1" x14ac:dyDescent="0.3">
      <c r="B55" s="78">
        <v>46377</v>
      </c>
      <c r="C55" s="85"/>
      <c r="D55" s="83"/>
      <c r="E55" s="101"/>
      <c r="F55" s="67"/>
      <c r="G55" s="82">
        <f t="shared" si="0"/>
        <v>0</v>
      </c>
    </row>
    <row r="56" spans="2:7" ht="14.25" customHeight="1" x14ac:dyDescent="0.3">
      <c r="B56" s="78">
        <v>46384</v>
      </c>
      <c r="C56" s="85"/>
      <c r="D56" s="83"/>
      <c r="E56" s="101"/>
      <c r="F56" s="67"/>
      <c r="G56" s="68">
        <f t="shared" si="0"/>
        <v>0</v>
      </c>
    </row>
    <row r="57" spans="2:7" ht="14.25" customHeight="1" x14ac:dyDescent="0.3">
      <c r="B57" s="78">
        <v>46391</v>
      </c>
      <c r="C57" s="85"/>
      <c r="D57" s="83"/>
      <c r="E57" s="101"/>
      <c r="F57" s="67"/>
      <c r="G57" s="82">
        <f t="shared" si="0"/>
        <v>0</v>
      </c>
    </row>
    <row r="58" spans="2:7" ht="14.25" customHeight="1" x14ac:dyDescent="0.3">
      <c r="B58" s="78">
        <v>46398</v>
      </c>
      <c r="C58" s="85"/>
      <c r="D58" s="83"/>
      <c r="E58" s="101"/>
      <c r="F58" s="67"/>
      <c r="G58" s="68">
        <f t="shared" si="0"/>
        <v>0</v>
      </c>
    </row>
    <row r="59" spans="2:7" ht="14.25" customHeight="1" x14ac:dyDescent="0.3"/>
    <row r="60" spans="2:7" ht="14.25" customHeight="1" thickBot="1" x14ac:dyDescent="0.35"/>
    <row r="61" spans="2:7" ht="14.25" customHeight="1" thickBot="1" x14ac:dyDescent="0.35">
      <c r="C61" s="93">
        <f>SUM(C5:C58)</f>
        <v>2179378.9900000002</v>
      </c>
      <c r="E61" s="92">
        <f>SUM(E5:E58)</f>
        <v>1458001.2799999998</v>
      </c>
      <c r="F61" s="90">
        <f>SUM(F5:F58)</f>
        <v>49975</v>
      </c>
      <c r="G61" s="91">
        <f>SUM(G5:G58)</f>
        <v>-721377.71</v>
      </c>
    </row>
    <row r="62" spans="2:7" ht="14.25" customHeight="1" x14ac:dyDescent="0.3">
      <c r="F62" s="74"/>
    </row>
    <row r="63" spans="2:7" ht="14.25" customHeight="1" x14ac:dyDescent="0.3"/>
    <row r="64" spans="2:7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B3:G3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7E2DA-3400-4C1B-AF89-E0501B66B347}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7BDE5-35FE-4E0E-9195-E44103580A9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5</vt:i4>
      </vt:variant>
    </vt:vector>
  </HeadingPairs>
  <TitlesOfParts>
    <vt:vector size="5" baseType="lpstr">
      <vt:lpstr>ΔΟΣΗ ΕΞΟΠΛΗΣΜΟΥ</vt:lpstr>
      <vt:lpstr>2024 -2025</vt:lpstr>
      <vt:lpstr>2026</vt:lpstr>
      <vt:lpstr>2027</vt:lpstr>
      <vt:lpstr>2028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 FTOULIS</dc:creator>
  <cp:lastModifiedBy>Office</cp:lastModifiedBy>
  <dcterms:created xsi:type="dcterms:W3CDTF">2015-06-05T18:19:34Z</dcterms:created>
  <dcterms:modified xsi:type="dcterms:W3CDTF">2026-07-24T06:26:41Z</dcterms:modified>
</cp:coreProperties>
</file>